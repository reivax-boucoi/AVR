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AVR\AVR\powermeter\Excel\"/>
    </mc:Choice>
  </mc:AlternateContent>
  <bookViews>
    <workbookView xWindow="0" yWindow="0" windowWidth="20490" windowHeight="7530" xr2:uid="{4FA51998-39E3-4156-9903-24D988C6EFAE}"/>
  </bookViews>
  <sheets>
    <sheet name="Sheet2" sheetId="2" r:id="rId1"/>
  </sheets>
  <definedNames>
    <definedName name="ExternalData_1" localSheetId="0" hidden="1">Sheet2!$A$1:$B$256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" i="2" l="1"/>
  <c r="I39" i="2"/>
  <c r="I41" i="2"/>
  <c r="I40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R4" i="2" l="1"/>
  <c r="Q2" i="2" l="1"/>
  <c r="R2" i="2"/>
  <c r="Q3" i="2"/>
  <c r="R3" i="2"/>
  <c r="S3" i="2" l="1"/>
  <c r="S2" i="2"/>
  <c r="O2" i="2"/>
  <c r="M2" i="2"/>
  <c r="C255" i="2" l="1"/>
  <c r="F255" i="2" s="1"/>
  <c r="C251" i="2"/>
  <c r="F251" i="2" s="1"/>
  <c r="C247" i="2"/>
  <c r="F247" i="2" s="1"/>
  <c r="C243" i="2"/>
  <c r="F243" i="2" s="1"/>
  <c r="C239" i="2"/>
  <c r="F239" i="2" s="1"/>
  <c r="C235" i="2"/>
  <c r="F235" i="2" s="1"/>
  <c r="C231" i="2"/>
  <c r="F231" i="2" s="1"/>
  <c r="C227" i="2"/>
  <c r="F227" i="2" s="1"/>
  <c r="C223" i="2"/>
  <c r="F223" i="2" s="1"/>
  <c r="C219" i="2"/>
  <c r="F219" i="2" s="1"/>
  <c r="C215" i="2"/>
  <c r="F215" i="2" s="1"/>
  <c r="C211" i="2"/>
  <c r="F211" i="2" s="1"/>
  <c r="C207" i="2"/>
  <c r="F207" i="2" s="1"/>
  <c r="C203" i="2"/>
  <c r="F203" i="2" s="1"/>
  <c r="C199" i="2"/>
  <c r="F199" i="2" s="1"/>
  <c r="C195" i="2"/>
  <c r="F195" i="2" s="1"/>
  <c r="C191" i="2"/>
  <c r="F191" i="2" s="1"/>
  <c r="C187" i="2"/>
  <c r="F187" i="2" s="1"/>
  <c r="C183" i="2"/>
  <c r="F183" i="2" s="1"/>
  <c r="C179" i="2"/>
  <c r="F179" i="2" s="1"/>
  <c r="C175" i="2"/>
  <c r="F175" i="2" s="1"/>
  <c r="C171" i="2"/>
  <c r="F171" i="2" s="1"/>
  <c r="C167" i="2"/>
  <c r="F167" i="2" s="1"/>
  <c r="C163" i="2"/>
  <c r="F163" i="2" s="1"/>
  <c r="C159" i="2"/>
  <c r="F159" i="2" s="1"/>
  <c r="C155" i="2"/>
  <c r="F155" i="2" s="1"/>
  <c r="C151" i="2"/>
  <c r="F151" i="2" s="1"/>
  <c r="C147" i="2"/>
  <c r="F147" i="2" s="1"/>
  <c r="C143" i="2"/>
  <c r="F143" i="2" s="1"/>
  <c r="C139" i="2"/>
  <c r="F139" i="2" s="1"/>
  <c r="C135" i="2"/>
  <c r="F135" i="2" s="1"/>
  <c r="C131" i="2"/>
  <c r="F131" i="2" s="1"/>
  <c r="C127" i="2"/>
  <c r="F127" i="2" s="1"/>
  <c r="C123" i="2"/>
  <c r="F123" i="2" s="1"/>
  <c r="C119" i="2"/>
  <c r="F119" i="2" s="1"/>
  <c r="C115" i="2"/>
  <c r="F115" i="2" s="1"/>
  <c r="C111" i="2"/>
  <c r="F111" i="2" s="1"/>
  <c r="C107" i="2"/>
  <c r="F107" i="2" s="1"/>
  <c r="C103" i="2"/>
  <c r="F103" i="2" s="1"/>
  <c r="C99" i="2"/>
  <c r="F99" i="2" s="1"/>
  <c r="C95" i="2"/>
  <c r="F95" i="2" s="1"/>
  <c r="C91" i="2"/>
  <c r="F91" i="2" s="1"/>
  <c r="C87" i="2"/>
  <c r="F87" i="2" s="1"/>
  <c r="C83" i="2"/>
  <c r="F83" i="2" s="1"/>
  <c r="C79" i="2"/>
  <c r="F79" i="2" s="1"/>
  <c r="C75" i="2"/>
  <c r="F75" i="2" s="1"/>
  <c r="C71" i="2"/>
  <c r="F71" i="2" s="1"/>
  <c r="C67" i="2"/>
  <c r="F67" i="2" s="1"/>
  <c r="C63" i="2"/>
  <c r="F63" i="2" s="1"/>
  <c r="C59" i="2"/>
  <c r="F59" i="2" s="1"/>
  <c r="C55" i="2"/>
  <c r="F55" i="2" s="1"/>
  <c r="C51" i="2"/>
  <c r="F51" i="2" s="1"/>
  <c r="C47" i="2"/>
  <c r="F47" i="2" s="1"/>
  <c r="C43" i="2"/>
  <c r="F43" i="2" s="1"/>
  <c r="C39" i="2"/>
  <c r="F39" i="2" s="1"/>
  <c r="C35" i="2"/>
  <c r="F35" i="2" s="1"/>
  <c r="C31" i="2"/>
  <c r="F31" i="2" s="1"/>
  <c r="C27" i="2"/>
  <c r="F27" i="2" s="1"/>
  <c r="C256" i="2"/>
  <c r="F256" i="2" s="1"/>
  <c r="C252" i="2"/>
  <c r="F252" i="2" s="1"/>
  <c r="C248" i="2"/>
  <c r="F248" i="2" s="1"/>
  <c r="C244" i="2"/>
  <c r="F244" i="2" s="1"/>
  <c r="C240" i="2"/>
  <c r="F240" i="2" s="1"/>
  <c r="C236" i="2"/>
  <c r="F236" i="2" s="1"/>
  <c r="C232" i="2"/>
  <c r="F232" i="2" s="1"/>
  <c r="C228" i="2"/>
  <c r="F228" i="2" s="1"/>
  <c r="C224" i="2"/>
  <c r="F224" i="2" s="1"/>
  <c r="C220" i="2"/>
  <c r="F220" i="2" s="1"/>
  <c r="C216" i="2"/>
  <c r="F216" i="2" s="1"/>
  <c r="C212" i="2"/>
  <c r="F212" i="2" s="1"/>
  <c r="C208" i="2"/>
  <c r="F208" i="2" s="1"/>
  <c r="C204" i="2"/>
  <c r="F204" i="2" s="1"/>
  <c r="C200" i="2"/>
  <c r="F200" i="2" s="1"/>
  <c r="C196" i="2"/>
  <c r="F196" i="2" s="1"/>
  <c r="C192" i="2"/>
  <c r="F192" i="2" s="1"/>
  <c r="C188" i="2"/>
  <c r="F188" i="2" s="1"/>
  <c r="C184" i="2"/>
  <c r="F184" i="2" s="1"/>
  <c r="C180" i="2"/>
  <c r="F180" i="2" s="1"/>
  <c r="C176" i="2"/>
  <c r="F176" i="2" s="1"/>
  <c r="C172" i="2"/>
  <c r="F172" i="2" s="1"/>
  <c r="C168" i="2"/>
  <c r="F168" i="2" s="1"/>
  <c r="C164" i="2"/>
  <c r="F164" i="2" s="1"/>
  <c r="C160" i="2"/>
  <c r="F160" i="2" s="1"/>
  <c r="C156" i="2"/>
  <c r="F156" i="2" s="1"/>
  <c r="C152" i="2"/>
  <c r="F152" i="2" s="1"/>
  <c r="C148" i="2"/>
  <c r="F148" i="2" s="1"/>
  <c r="C144" i="2"/>
  <c r="F144" i="2" s="1"/>
  <c r="C140" i="2"/>
  <c r="F140" i="2" s="1"/>
  <c r="C136" i="2"/>
  <c r="F136" i="2" s="1"/>
  <c r="C132" i="2"/>
  <c r="F132" i="2" s="1"/>
  <c r="C128" i="2"/>
  <c r="F128" i="2" s="1"/>
  <c r="C124" i="2"/>
  <c r="F124" i="2" s="1"/>
  <c r="C120" i="2"/>
  <c r="F120" i="2" s="1"/>
  <c r="C116" i="2"/>
  <c r="F116" i="2" s="1"/>
  <c r="C112" i="2"/>
  <c r="F112" i="2" s="1"/>
  <c r="C108" i="2"/>
  <c r="F108" i="2" s="1"/>
  <c r="C104" i="2"/>
  <c r="F104" i="2" s="1"/>
  <c r="C100" i="2"/>
  <c r="F100" i="2" s="1"/>
  <c r="C96" i="2"/>
  <c r="F96" i="2" s="1"/>
  <c r="C92" i="2"/>
  <c r="F92" i="2" s="1"/>
  <c r="C88" i="2"/>
  <c r="F88" i="2" s="1"/>
  <c r="C84" i="2"/>
  <c r="F84" i="2" s="1"/>
  <c r="C80" i="2"/>
  <c r="F80" i="2" s="1"/>
  <c r="C76" i="2"/>
  <c r="F76" i="2" s="1"/>
  <c r="C72" i="2"/>
  <c r="F72" i="2" s="1"/>
  <c r="C68" i="2"/>
  <c r="F68" i="2" s="1"/>
  <c r="C64" i="2"/>
  <c r="F64" i="2" s="1"/>
  <c r="C60" i="2"/>
  <c r="F60" i="2" s="1"/>
  <c r="C56" i="2"/>
  <c r="F56" i="2" s="1"/>
  <c r="C52" i="2"/>
  <c r="F52" i="2" s="1"/>
  <c r="C48" i="2"/>
  <c r="F48" i="2" s="1"/>
  <c r="C44" i="2"/>
  <c r="F44" i="2" s="1"/>
  <c r="C40" i="2"/>
  <c r="F40" i="2" s="1"/>
  <c r="C36" i="2"/>
  <c r="F36" i="2" s="1"/>
  <c r="C32" i="2"/>
  <c r="F32" i="2" s="1"/>
  <c r="C28" i="2"/>
  <c r="F28" i="2" s="1"/>
  <c r="C24" i="2"/>
  <c r="F24" i="2" s="1"/>
  <c r="C20" i="2"/>
  <c r="F20" i="2" s="1"/>
  <c r="C16" i="2"/>
  <c r="F16" i="2" s="1"/>
  <c r="C12" i="2"/>
  <c r="F12" i="2" s="1"/>
  <c r="C8" i="2"/>
  <c r="F8" i="2" s="1"/>
  <c r="C4" i="2"/>
  <c r="F4" i="2" s="1"/>
  <c r="C23" i="2"/>
  <c r="F23" i="2" s="1"/>
  <c r="C19" i="2"/>
  <c r="F19" i="2" s="1"/>
  <c r="C15" i="2"/>
  <c r="F15" i="2" s="1"/>
  <c r="C11" i="2"/>
  <c r="F11" i="2" s="1"/>
  <c r="C7" i="2"/>
  <c r="F7" i="2" s="1"/>
  <c r="C3" i="2"/>
  <c r="F3" i="2" s="1"/>
  <c r="C9" i="2"/>
  <c r="F9" i="2" s="1"/>
  <c r="C253" i="2"/>
  <c r="F253" i="2" s="1"/>
  <c r="C249" i="2"/>
  <c r="F249" i="2" s="1"/>
  <c r="C245" i="2"/>
  <c r="F245" i="2" s="1"/>
  <c r="C241" i="2"/>
  <c r="F241" i="2" s="1"/>
  <c r="C237" i="2"/>
  <c r="F237" i="2" s="1"/>
  <c r="C233" i="2"/>
  <c r="F233" i="2" s="1"/>
  <c r="C229" i="2"/>
  <c r="F229" i="2" s="1"/>
  <c r="C225" i="2"/>
  <c r="F225" i="2" s="1"/>
  <c r="C221" i="2"/>
  <c r="F221" i="2" s="1"/>
  <c r="C217" i="2"/>
  <c r="F217" i="2" s="1"/>
  <c r="C213" i="2"/>
  <c r="F213" i="2" s="1"/>
  <c r="C209" i="2"/>
  <c r="F209" i="2" s="1"/>
  <c r="C205" i="2"/>
  <c r="F205" i="2" s="1"/>
  <c r="C201" i="2"/>
  <c r="F201" i="2" s="1"/>
  <c r="C197" i="2"/>
  <c r="F197" i="2" s="1"/>
  <c r="C193" i="2"/>
  <c r="F193" i="2" s="1"/>
  <c r="C189" i="2"/>
  <c r="F189" i="2" s="1"/>
  <c r="C185" i="2"/>
  <c r="F185" i="2" s="1"/>
  <c r="C181" i="2"/>
  <c r="F181" i="2" s="1"/>
  <c r="C177" i="2"/>
  <c r="F177" i="2" s="1"/>
  <c r="C173" i="2"/>
  <c r="F173" i="2" s="1"/>
  <c r="C169" i="2"/>
  <c r="F169" i="2" s="1"/>
  <c r="C165" i="2"/>
  <c r="F165" i="2" s="1"/>
  <c r="C161" i="2"/>
  <c r="F161" i="2" s="1"/>
  <c r="C157" i="2"/>
  <c r="F157" i="2" s="1"/>
  <c r="C153" i="2"/>
  <c r="F153" i="2" s="1"/>
  <c r="C149" i="2"/>
  <c r="F149" i="2" s="1"/>
  <c r="C145" i="2"/>
  <c r="F145" i="2" s="1"/>
  <c r="C141" i="2"/>
  <c r="F141" i="2" s="1"/>
  <c r="C137" i="2"/>
  <c r="F137" i="2" s="1"/>
  <c r="C133" i="2"/>
  <c r="F133" i="2" s="1"/>
  <c r="C129" i="2"/>
  <c r="F129" i="2" s="1"/>
  <c r="C125" i="2"/>
  <c r="F125" i="2" s="1"/>
  <c r="C121" i="2"/>
  <c r="F121" i="2" s="1"/>
  <c r="C117" i="2"/>
  <c r="F117" i="2" s="1"/>
  <c r="C113" i="2"/>
  <c r="F113" i="2" s="1"/>
  <c r="C109" i="2"/>
  <c r="F109" i="2" s="1"/>
  <c r="C105" i="2"/>
  <c r="F105" i="2" s="1"/>
  <c r="C101" i="2"/>
  <c r="F101" i="2" s="1"/>
  <c r="C97" i="2"/>
  <c r="F97" i="2" s="1"/>
  <c r="C93" i="2"/>
  <c r="F93" i="2" s="1"/>
  <c r="C89" i="2"/>
  <c r="F89" i="2" s="1"/>
  <c r="C85" i="2"/>
  <c r="F85" i="2" s="1"/>
  <c r="C81" i="2"/>
  <c r="F81" i="2" s="1"/>
  <c r="C77" i="2"/>
  <c r="F77" i="2" s="1"/>
  <c r="C73" i="2"/>
  <c r="F73" i="2" s="1"/>
  <c r="C69" i="2"/>
  <c r="F69" i="2" s="1"/>
  <c r="C65" i="2"/>
  <c r="F65" i="2" s="1"/>
  <c r="C61" i="2"/>
  <c r="F61" i="2" s="1"/>
  <c r="C57" i="2"/>
  <c r="F57" i="2" s="1"/>
  <c r="C53" i="2"/>
  <c r="F53" i="2" s="1"/>
  <c r="C49" i="2"/>
  <c r="F49" i="2" s="1"/>
  <c r="C45" i="2"/>
  <c r="F45" i="2" s="1"/>
  <c r="C41" i="2"/>
  <c r="F41" i="2" s="1"/>
  <c r="C37" i="2"/>
  <c r="F37" i="2" s="1"/>
  <c r="C33" i="2"/>
  <c r="F33" i="2" s="1"/>
  <c r="C29" i="2"/>
  <c r="F29" i="2" s="1"/>
  <c r="C25" i="2"/>
  <c r="F25" i="2" s="1"/>
  <c r="C254" i="2"/>
  <c r="F254" i="2" s="1"/>
  <c r="C250" i="2"/>
  <c r="F250" i="2" s="1"/>
  <c r="C246" i="2"/>
  <c r="F246" i="2" s="1"/>
  <c r="C242" i="2"/>
  <c r="F242" i="2" s="1"/>
  <c r="C238" i="2"/>
  <c r="F238" i="2" s="1"/>
  <c r="C234" i="2"/>
  <c r="F234" i="2" s="1"/>
  <c r="C230" i="2"/>
  <c r="F230" i="2" s="1"/>
  <c r="C226" i="2"/>
  <c r="F226" i="2" s="1"/>
  <c r="C222" i="2"/>
  <c r="F222" i="2" s="1"/>
  <c r="C218" i="2"/>
  <c r="F218" i="2" s="1"/>
  <c r="C214" i="2"/>
  <c r="F214" i="2" s="1"/>
  <c r="C210" i="2"/>
  <c r="F210" i="2" s="1"/>
  <c r="C206" i="2"/>
  <c r="F206" i="2" s="1"/>
  <c r="C202" i="2"/>
  <c r="F202" i="2" s="1"/>
  <c r="C198" i="2"/>
  <c r="F198" i="2" s="1"/>
  <c r="C194" i="2"/>
  <c r="F194" i="2" s="1"/>
  <c r="C190" i="2"/>
  <c r="F190" i="2" s="1"/>
  <c r="C186" i="2"/>
  <c r="F186" i="2" s="1"/>
  <c r="C182" i="2"/>
  <c r="F182" i="2" s="1"/>
  <c r="C178" i="2"/>
  <c r="F178" i="2" s="1"/>
  <c r="C174" i="2"/>
  <c r="F174" i="2" s="1"/>
  <c r="C170" i="2"/>
  <c r="F170" i="2" s="1"/>
  <c r="C166" i="2"/>
  <c r="F166" i="2" s="1"/>
  <c r="C162" i="2"/>
  <c r="F162" i="2" s="1"/>
  <c r="C158" i="2"/>
  <c r="F158" i="2" s="1"/>
  <c r="C154" i="2"/>
  <c r="F154" i="2" s="1"/>
  <c r="C150" i="2"/>
  <c r="F150" i="2" s="1"/>
  <c r="C146" i="2"/>
  <c r="F146" i="2" s="1"/>
  <c r="C142" i="2"/>
  <c r="F142" i="2" s="1"/>
  <c r="C138" i="2"/>
  <c r="F138" i="2" s="1"/>
  <c r="C134" i="2"/>
  <c r="F134" i="2" s="1"/>
  <c r="C130" i="2"/>
  <c r="F130" i="2" s="1"/>
  <c r="C126" i="2"/>
  <c r="F126" i="2" s="1"/>
  <c r="C122" i="2"/>
  <c r="F122" i="2" s="1"/>
  <c r="C118" i="2"/>
  <c r="F118" i="2" s="1"/>
  <c r="C114" i="2"/>
  <c r="F114" i="2" s="1"/>
  <c r="C110" i="2"/>
  <c r="F110" i="2" s="1"/>
  <c r="C106" i="2"/>
  <c r="F106" i="2" s="1"/>
  <c r="C102" i="2"/>
  <c r="F102" i="2" s="1"/>
  <c r="C98" i="2"/>
  <c r="F98" i="2" s="1"/>
  <c r="C94" i="2"/>
  <c r="F94" i="2" s="1"/>
  <c r="C90" i="2"/>
  <c r="F90" i="2" s="1"/>
  <c r="C86" i="2"/>
  <c r="F86" i="2" s="1"/>
  <c r="C82" i="2"/>
  <c r="F82" i="2" s="1"/>
  <c r="C78" i="2"/>
  <c r="F78" i="2" s="1"/>
  <c r="C74" i="2"/>
  <c r="F74" i="2" s="1"/>
  <c r="C70" i="2"/>
  <c r="F70" i="2" s="1"/>
  <c r="C66" i="2"/>
  <c r="F66" i="2" s="1"/>
  <c r="C62" i="2"/>
  <c r="F62" i="2" s="1"/>
  <c r="C58" i="2"/>
  <c r="F58" i="2" s="1"/>
  <c r="C54" i="2"/>
  <c r="F54" i="2" s="1"/>
  <c r="C50" i="2"/>
  <c r="F50" i="2" s="1"/>
  <c r="C46" i="2"/>
  <c r="F46" i="2" s="1"/>
  <c r="C42" i="2"/>
  <c r="F42" i="2" s="1"/>
  <c r="C38" i="2"/>
  <c r="F38" i="2" s="1"/>
  <c r="C34" i="2"/>
  <c r="F34" i="2" s="1"/>
  <c r="C30" i="2"/>
  <c r="F30" i="2" s="1"/>
  <c r="C26" i="2"/>
  <c r="F26" i="2" s="1"/>
  <c r="C22" i="2"/>
  <c r="F22" i="2" s="1"/>
  <c r="C18" i="2"/>
  <c r="F18" i="2" s="1"/>
  <c r="C14" i="2"/>
  <c r="F14" i="2" s="1"/>
  <c r="C10" i="2"/>
  <c r="F10" i="2" s="1"/>
  <c r="C6" i="2"/>
  <c r="F6" i="2" s="1"/>
  <c r="C2" i="2"/>
  <c r="F2" i="2" s="1"/>
  <c r="C21" i="2"/>
  <c r="F21" i="2" s="1"/>
  <c r="C17" i="2"/>
  <c r="F17" i="2" s="1"/>
  <c r="C13" i="2"/>
  <c r="F13" i="2" s="1"/>
  <c r="C5" i="2"/>
  <c r="F5" i="2" s="1"/>
  <c r="D3" i="2"/>
  <c r="D5" i="2"/>
  <c r="D7" i="2"/>
  <c r="D9" i="2"/>
  <c r="D11" i="2"/>
  <c r="D13" i="2"/>
  <c r="D15" i="2"/>
  <c r="D17" i="2"/>
  <c r="D19" i="2"/>
  <c r="D21" i="2"/>
  <c r="D23" i="2"/>
  <c r="D25" i="2"/>
  <c r="D27" i="2"/>
  <c r="D29" i="2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2" i="2"/>
  <c r="D4" i="2"/>
  <c r="D6" i="2"/>
  <c r="D8" i="2"/>
  <c r="D10" i="2"/>
  <c r="D12" i="2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44" i="2"/>
  <c r="D46" i="2"/>
  <c r="D48" i="2"/>
  <c r="D50" i="2"/>
  <c r="D52" i="2"/>
  <c r="D54" i="2"/>
  <c r="D56" i="2"/>
  <c r="D58" i="2"/>
  <c r="D60" i="2"/>
  <c r="D62" i="2"/>
  <c r="D64" i="2"/>
  <c r="D66" i="2"/>
  <c r="D68" i="2"/>
  <c r="D70" i="2"/>
  <c r="D72" i="2"/>
  <c r="D74" i="2"/>
  <c r="D76" i="2"/>
  <c r="D78" i="2"/>
  <c r="D80" i="2"/>
  <c r="D82" i="2"/>
  <c r="D84" i="2"/>
  <c r="D86" i="2"/>
  <c r="D88" i="2"/>
  <c r="D90" i="2"/>
  <c r="D92" i="2"/>
  <c r="D94" i="2"/>
  <c r="D96" i="2"/>
  <c r="D98" i="2"/>
  <c r="D100" i="2"/>
  <c r="D102" i="2"/>
  <c r="D104" i="2"/>
  <c r="D106" i="2"/>
  <c r="D108" i="2"/>
  <c r="D110" i="2"/>
  <c r="D112" i="2"/>
  <c r="D114" i="2"/>
  <c r="D116" i="2"/>
  <c r="D118" i="2"/>
  <c r="D120" i="2"/>
  <c r="D122" i="2"/>
  <c r="D124" i="2"/>
  <c r="D126" i="2"/>
  <c r="D128" i="2"/>
  <c r="D130" i="2"/>
  <c r="D132" i="2"/>
  <c r="D134" i="2"/>
  <c r="D136" i="2"/>
  <c r="D138" i="2"/>
  <c r="D140" i="2"/>
  <c r="D142" i="2"/>
  <c r="D144" i="2"/>
  <c r="D146" i="2"/>
  <c r="D148" i="2"/>
  <c r="D150" i="2"/>
  <c r="D152" i="2"/>
  <c r="D154" i="2"/>
  <c r="D156" i="2"/>
  <c r="D158" i="2"/>
  <c r="D160" i="2"/>
  <c r="D162" i="2"/>
  <c r="D164" i="2"/>
  <c r="D166" i="2"/>
  <c r="D168" i="2"/>
  <c r="D170" i="2"/>
  <c r="D172" i="2"/>
  <c r="D174" i="2"/>
  <c r="D176" i="2"/>
  <c r="D178" i="2"/>
  <c r="D180" i="2"/>
  <c r="D182" i="2"/>
  <c r="D184" i="2"/>
  <c r="D186" i="2"/>
  <c r="D188" i="2"/>
  <c r="D190" i="2"/>
  <c r="D192" i="2"/>
  <c r="D194" i="2"/>
  <c r="D196" i="2"/>
  <c r="D198" i="2"/>
  <c r="D200" i="2"/>
  <c r="D202" i="2"/>
  <c r="D204" i="2"/>
  <c r="D206" i="2"/>
  <c r="D208" i="2"/>
  <c r="D210" i="2"/>
  <c r="D212" i="2"/>
  <c r="D214" i="2"/>
  <c r="D216" i="2"/>
  <c r="D218" i="2"/>
  <c r="D220" i="2"/>
  <c r="D222" i="2"/>
  <c r="D224" i="2"/>
  <c r="D226" i="2"/>
  <c r="D228" i="2"/>
  <c r="D230" i="2"/>
  <c r="D232" i="2"/>
  <c r="D234" i="2"/>
  <c r="D236" i="2"/>
  <c r="D238" i="2"/>
  <c r="D240" i="2"/>
  <c r="D242" i="2"/>
  <c r="D244" i="2"/>
  <c r="D246" i="2"/>
  <c r="D248" i="2"/>
  <c r="D250" i="2"/>
  <c r="D252" i="2"/>
  <c r="D254" i="2"/>
  <c r="D256" i="2"/>
  <c r="D109" i="2"/>
  <c r="D111" i="2"/>
  <c r="D113" i="2"/>
  <c r="D115" i="2"/>
  <c r="D117" i="2"/>
  <c r="D119" i="2"/>
  <c r="D121" i="2"/>
  <c r="D123" i="2"/>
  <c r="D125" i="2"/>
  <c r="D127" i="2"/>
  <c r="D129" i="2"/>
  <c r="D131" i="2"/>
  <c r="D133" i="2"/>
  <c r="D135" i="2"/>
  <c r="D137" i="2"/>
  <c r="D139" i="2"/>
  <c r="D141" i="2"/>
  <c r="D143" i="2"/>
  <c r="D145" i="2"/>
  <c r="D147" i="2"/>
  <c r="D149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1" i="2"/>
  <c r="D193" i="2"/>
  <c r="D195" i="2"/>
  <c r="D197" i="2"/>
  <c r="D199" i="2"/>
  <c r="D201" i="2"/>
  <c r="D203" i="2"/>
  <c r="D205" i="2"/>
  <c r="D207" i="2"/>
  <c r="D209" i="2"/>
  <c r="D211" i="2"/>
  <c r="D213" i="2"/>
  <c r="D215" i="2"/>
  <c r="D217" i="2"/>
  <c r="D219" i="2"/>
  <c r="D221" i="2"/>
  <c r="D223" i="2"/>
  <c r="D225" i="2"/>
  <c r="D227" i="2"/>
  <c r="D229" i="2"/>
  <c r="D231" i="2"/>
  <c r="D233" i="2"/>
  <c r="D235" i="2"/>
  <c r="D237" i="2"/>
  <c r="D239" i="2"/>
  <c r="D241" i="2"/>
  <c r="D243" i="2"/>
  <c r="D245" i="2"/>
  <c r="D247" i="2"/>
  <c r="D249" i="2"/>
  <c r="D251" i="2"/>
  <c r="D253" i="2"/>
  <c r="D255" i="2"/>
  <c r="K1" i="2"/>
  <c r="M4" i="2" s="1"/>
  <c r="M3" i="2" l="1"/>
  <c r="O3" i="2"/>
  <c r="O4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eraterm" description="Connection to the 'teraterm' query in the workbook." type="5" refreshedVersion="6" background="1" saveData="1">
    <dbPr connection="Provider=Microsoft.Mashup.OleDb.1;Data Source=$Workbook$;Location=teraterm;Extended Properties=&quot;&quot;" command="SELECT * FROM [teraterm]"/>
  </connection>
</connections>
</file>

<file path=xl/sharedStrings.xml><?xml version="1.0" encoding="utf-8"?>
<sst xmlns="http://schemas.openxmlformats.org/spreadsheetml/2006/main" count="24" uniqueCount="21">
  <si>
    <t>Column1</t>
  </si>
  <si>
    <t>Column2</t>
  </si>
  <si>
    <t>offset</t>
  </si>
  <si>
    <t>r1</t>
  </si>
  <si>
    <t>r2</t>
  </si>
  <si>
    <t>V(V)</t>
  </si>
  <si>
    <t>Value(V)</t>
  </si>
  <si>
    <t>V²</t>
  </si>
  <si>
    <t>Vrms</t>
  </si>
  <si>
    <t>vmains</t>
  </si>
  <si>
    <t>gain error</t>
  </si>
  <si>
    <t>min</t>
  </si>
  <si>
    <t>max</t>
  </si>
  <si>
    <t xml:space="preserve">gain  </t>
  </si>
  <si>
    <t>gain adc</t>
  </si>
  <si>
    <t>total</t>
  </si>
  <si>
    <t>gain Rs</t>
  </si>
  <si>
    <t>v</t>
  </si>
  <si>
    <t>i</t>
  </si>
  <si>
    <t>ioffset</t>
  </si>
  <si>
    <t>I(mA)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</si>
</sst>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595030157041399E-2"/>
          <c:y val="7.2607260726072612E-2"/>
          <c:w val="0.84006932989776317"/>
          <c:h val="0.88713442997843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V(V)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Sheet2!$C$2:$C$90</c:f>
              <c:numCache>
                <c:formatCode>0.00</c:formatCode>
                <c:ptCount val="89"/>
                <c:pt idx="0">
                  <c:v>-71.85498046875</c:v>
                </c:pt>
                <c:pt idx="1">
                  <c:v>-47.5081787109375</c:v>
                </c:pt>
                <c:pt idx="2">
                  <c:v>-24.1644287109375</c:v>
                </c:pt>
                <c:pt idx="3">
                  <c:v>-0.547119140625</c:v>
                </c:pt>
                <c:pt idx="4">
                  <c:v>20.1522216796875</c:v>
                </c:pt>
                <c:pt idx="5">
                  <c:v>39.8485107421875</c:v>
                </c:pt>
                <c:pt idx="6">
                  <c:v>59.271240234375</c:v>
                </c:pt>
                <c:pt idx="7">
                  <c:v>71.12548828125</c:v>
                </c:pt>
                <c:pt idx="8">
                  <c:v>83.709228515625</c:v>
                </c:pt>
                <c:pt idx="9">
                  <c:v>91.55126953125</c:v>
                </c:pt>
                <c:pt idx="10">
                  <c:v>94.651611328125</c:v>
                </c:pt>
                <c:pt idx="11">
                  <c:v>96.29296875</c:v>
                </c:pt>
                <c:pt idx="12">
                  <c:v>96.9312744140625</c:v>
                </c:pt>
                <c:pt idx="13">
                  <c:v>95.6546630859375</c:v>
                </c:pt>
                <c:pt idx="14">
                  <c:v>86.7183837890625</c:v>
                </c:pt>
                <c:pt idx="15">
                  <c:v>73.7698974609375</c:v>
                </c:pt>
                <c:pt idx="16">
                  <c:v>58.177001953125</c:v>
                </c:pt>
                <c:pt idx="17">
                  <c:v>42.9488525390625</c:v>
                </c:pt>
                <c:pt idx="18">
                  <c:v>19.0579833984375</c:v>
                </c:pt>
                <c:pt idx="19">
                  <c:v>-3.0091552734375</c:v>
                </c:pt>
                <c:pt idx="20">
                  <c:v>-25.714599609375</c:v>
                </c:pt>
                <c:pt idx="21">
                  <c:v>-50.6085205078125</c:v>
                </c:pt>
                <c:pt idx="22">
                  <c:v>-76.3231201171875</c:v>
                </c:pt>
                <c:pt idx="23">
                  <c:v>-102.4024658203125</c:v>
                </c:pt>
                <c:pt idx="24">
                  <c:v>-125.83740234375</c:v>
                </c:pt>
                <c:pt idx="25">
                  <c:v>-150.9136962890625</c:v>
                </c:pt>
                <c:pt idx="26">
                  <c:v>-173.801513671875</c:v>
                </c:pt>
                <c:pt idx="27">
                  <c:v>-194.1361083984375</c:v>
                </c:pt>
                <c:pt idx="28">
                  <c:v>-216.112060546875</c:v>
                </c:pt>
                <c:pt idx="29">
                  <c:v>-230.7930908203125</c:v>
                </c:pt>
                <c:pt idx="30">
                  <c:v>-243.650390625</c:v>
                </c:pt>
                <c:pt idx="31">
                  <c:v>-254.6839599609375</c:v>
                </c:pt>
                <c:pt idx="32">
                  <c:v>-258.9697265625</c:v>
                </c:pt>
                <c:pt idx="33">
                  <c:v>-260.8846435546875</c:v>
                </c:pt>
                <c:pt idx="34">
                  <c:v>-261.340576171875</c:v>
                </c:pt>
                <c:pt idx="35">
                  <c:v>-260.1551513671875</c:v>
                </c:pt>
                <c:pt idx="36">
                  <c:v>-254.22802734375</c:v>
                </c:pt>
                <c:pt idx="37">
                  <c:v>-240.185302734375</c:v>
                </c:pt>
                <c:pt idx="38">
                  <c:v>-224.4100341796875</c:v>
                </c:pt>
                <c:pt idx="39">
                  <c:v>-207.0845947265625</c:v>
                </c:pt>
                <c:pt idx="40">
                  <c:v>-185.5645751953125</c:v>
                </c:pt>
                <c:pt idx="41">
                  <c:v>-161.6737060546875</c:v>
                </c:pt>
                <c:pt idx="42">
                  <c:v>-139.515380859375</c:v>
                </c:pt>
                <c:pt idx="43">
                  <c:v>-113.8919677734375</c:v>
                </c:pt>
                <c:pt idx="44">
                  <c:v>-88.815673828125</c:v>
                </c:pt>
                <c:pt idx="45">
                  <c:v>-62.736328125</c:v>
                </c:pt>
                <c:pt idx="46">
                  <c:v>-39.574951171875</c:v>
                </c:pt>
                <c:pt idx="47">
                  <c:v>-15.866455078125</c:v>
                </c:pt>
                <c:pt idx="48">
                  <c:v>7.112548828125</c:v>
                </c:pt>
                <c:pt idx="49">
                  <c:v>26.9912109375</c:v>
                </c:pt>
                <c:pt idx="50">
                  <c:v>46.7786865234375</c:v>
                </c:pt>
                <c:pt idx="51">
                  <c:v>63.4658203125</c:v>
                </c:pt>
                <c:pt idx="52">
                  <c:v>75.320068359375</c:v>
                </c:pt>
                <c:pt idx="53">
                  <c:v>86.991943359375</c:v>
                </c:pt>
                <c:pt idx="54">
                  <c:v>92.463134765625</c:v>
                </c:pt>
                <c:pt idx="55">
                  <c:v>95.1075439453125</c:v>
                </c:pt>
                <c:pt idx="56">
                  <c:v>96.475341796875</c:v>
                </c:pt>
                <c:pt idx="57">
                  <c:v>96.5665283203125</c:v>
                </c:pt>
                <c:pt idx="58">
                  <c:v>93.4661865234375</c:v>
                </c:pt>
                <c:pt idx="59">
                  <c:v>83.162109375</c:v>
                </c:pt>
                <c:pt idx="60">
                  <c:v>68.4810791015625</c:v>
                </c:pt>
                <c:pt idx="61">
                  <c:v>52.9793701171875</c:v>
                </c:pt>
                <c:pt idx="62">
                  <c:v>34.2861328125</c:v>
                </c:pt>
                <c:pt idx="63">
                  <c:v>11.124755859375</c:v>
                </c:pt>
                <c:pt idx="64">
                  <c:v>-10.395263671875</c:v>
                </c:pt>
                <c:pt idx="65">
                  <c:v>-35.015625</c:v>
                </c:pt>
                <c:pt idx="66">
                  <c:v>-59.635986328125</c:v>
                </c:pt>
                <c:pt idx="67">
                  <c:v>-85.897705078125</c:v>
                </c:pt>
                <c:pt idx="68">
                  <c:v>-110.7916259765625</c:v>
                </c:pt>
                <c:pt idx="69">
                  <c:v>-134.6824951171875</c:v>
                </c:pt>
                <c:pt idx="70">
                  <c:v>-159.3028564453125</c:v>
                </c:pt>
                <c:pt idx="71">
                  <c:v>-181.1876220703125</c:v>
                </c:pt>
                <c:pt idx="72">
                  <c:v>-201.886962890625</c:v>
                </c:pt>
                <c:pt idx="73">
                  <c:v>-222.4951171875</c:v>
                </c:pt>
                <c:pt idx="74">
                  <c:v>-235.443603515625</c:v>
                </c:pt>
                <c:pt idx="75">
                  <c:v>-248.7568359375</c:v>
                </c:pt>
                <c:pt idx="76">
                  <c:v>-256.78125</c:v>
                </c:pt>
                <c:pt idx="77">
                  <c:v>-259.9727783203125</c:v>
                </c:pt>
                <c:pt idx="78">
                  <c:v>-261.2493896484375</c:v>
                </c:pt>
                <c:pt idx="79">
                  <c:v>-261.2493896484375</c:v>
                </c:pt>
                <c:pt idx="80">
                  <c:v>-259.2432861328125</c:v>
                </c:pt>
                <c:pt idx="81">
                  <c:v>-250.8541259765625</c:v>
                </c:pt>
                <c:pt idx="82">
                  <c:v>-234.714111328125</c:v>
                </c:pt>
                <c:pt idx="83">
                  <c:v>-218.84765625</c:v>
                </c:pt>
                <c:pt idx="84">
                  <c:v>-201.157470703125</c:v>
                </c:pt>
                <c:pt idx="85">
                  <c:v>-176.4459228515625</c:v>
                </c:pt>
                <c:pt idx="86">
                  <c:v>-154.105224609375</c:v>
                </c:pt>
                <c:pt idx="87">
                  <c:v>-130.5791015625</c:v>
                </c:pt>
                <c:pt idx="88">
                  <c:v>97.0224609375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080360"/>
        <c:axId val="773080688"/>
      </c:scatterChart>
      <c:scatterChart>
        <c:scatterStyle val="lineMarker"/>
        <c:varyColors val="0"/>
        <c:ser>
          <c:idx val="1"/>
          <c:order val="1"/>
          <c:tx>
            <c:strRef>
              <c:f>Sheet2!$D$1</c:f>
              <c:strCache>
                <c:ptCount val="1"/>
                <c:pt idx="0">
                  <c:v>I(mA)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Sheet2!$D$2:$D$90</c:f>
              <c:numCache>
                <c:formatCode>0.00</c:formatCode>
                <c:ptCount val="89"/>
                <c:pt idx="0">
                  <c:v>-11437.581380208332</c:v>
                </c:pt>
                <c:pt idx="1">
                  <c:v>-10460.205078124998</c:v>
                </c:pt>
                <c:pt idx="2">
                  <c:v>-10732.014973958332</c:v>
                </c:pt>
                <c:pt idx="3">
                  <c:v>-10795.491536458332</c:v>
                </c:pt>
                <c:pt idx="4">
                  <c:v>12383.219401041666</c:v>
                </c:pt>
                <c:pt idx="5">
                  <c:v>7663.5742187499991</c:v>
                </c:pt>
                <c:pt idx="6">
                  <c:v>2546.7936197916665</c:v>
                </c:pt>
                <c:pt idx="7">
                  <c:v>-11266.276041666666</c:v>
                </c:pt>
                <c:pt idx="8">
                  <c:v>2367.3502604166665</c:v>
                </c:pt>
                <c:pt idx="9">
                  <c:v>10552.164713541666</c:v>
                </c:pt>
                <c:pt idx="10">
                  <c:v>13309.326171874998</c:v>
                </c:pt>
                <c:pt idx="11">
                  <c:v>-12270.914713541666</c:v>
                </c:pt>
                <c:pt idx="12">
                  <c:v>-12330.322265624998</c:v>
                </c:pt>
                <c:pt idx="13">
                  <c:v>12098.388671874998</c:v>
                </c:pt>
                <c:pt idx="14">
                  <c:v>1153.1575520833333</c:v>
                </c:pt>
                <c:pt idx="15">
                  <c:v>12351.888020833332</c:v>
                </c:pt>
                <c:pt idx="16">
                  <c:v>-6064.4531249999991</c:v>
                </c:pt>
                <c:pt idx="17">
                  <c:v>2672.932942708333</c:v>
                </c:pt>
                <c:pt idx="18">
                  <c:v>1623.1282552083333</c:v>
                </c:pt>
                <c:pt idx="19">
                  <c:v>2756.7545572916665</c:v>
                </c:pt>
                <c:pt idx="20">
                  <c:v>3263.753255208333</c:v>
                </c:pt>
                <c:pt idx="21">
                  <c:v>1382.6497395833333</c:v>
                </c:pt>
                <c:pt idx="22">
                  <c:v>-1320.8007812499998</c:v>
                </c:pt>
                <c:pt idx="23">
                  <c:v>-4324.544270833333</c:v>
                </c:pt>
                <c:pt idx="24">
                  <c:v>-4203.2877604166661</c:v>
                </c:pt>
                <c:pt idx="25">
                  <c:v>-5845.9472656249991</c:v>
                </c:pt>
                <c:pt idx="26">
                  <c:v>-4887.6953125</c:v>
                </c:pt>
                <c:pt idx="27">
                  <c:v>-924.07226562499989</c:v>
                </c:pt>
                <c:pt idx="28">
                  <c:v>1260.5794270833333</c:v>
                </c:pt>
                <c:pt idx="29">
                  <c:v>11841.634114583332</c:v>
                </c:pt>
                <c:pt idx="30">
                  <c:v>-2105.712890625</c:v>
                </c:pt>
                <c:pt idx="31">
                  <c:v>12743.326822916666</c:v>
                </c:pt>
                <c:pt idx="32">
                  <c:v>8649.90234375</c:v>
                </c:pt>
                <c:pt idx="33">
                  <c:v>7270.100911458333</c:v>
                </c:pt>
                <c:pt idx="34">
                  <c:v>7556.1523437499991</c:v>
                </c:pt>
                <c:pt idx="35">
                  <c:v>9708.6588541666661</c:v>
                </c:pt>
                <c:pt idx="36">
                  <c:v>-9418.5384114583321</c:v>
                </c:pt>
                <c:pt idx="37">
                  <c:v>7326.253255208333</c:v>
                </c:pt>
                <c:pt idx="38">
                  <c:v>-689.69726562499989</c:v>
                </c:pt>
                <c:pt idx="39">
                  <c:v>-7014.5670572916661</c:v>
                </c:pt>
                <c:pt idx="40">
                  <c:v>-8645.8333333333321</c:v>
                </c:pt>
                <c:pt idx="41">
                  <c:v>-7677.0019531249991</c:v>
                </c:pt>
                <c:pt idx="42">
                  <c:v>-8787.841796875</c:v>
                </c:pt>
                <c:pt idx="43">
                  <c:v>-6055.501302083333</c:v>
                </c:pt>
                <c:pt idx="44">
                  <c:v>-4060.4654947916661</c:v>
                </c:pt>
                <c:pt idx="45">
                  <c:v>-1036.376953125</c:v>
                </c:pt>
                <c:pt idx="46">
                  <c:v>-1448.5677083333333</c:v>
                </c:pt>
                <c:pt idx="47">
                  <c:v>-1340.7389322916665</c:v>
                </c:pt>
                <c:pt idx="48">
                  <c:v>-2167.561848958333</c:v>
                </c:pt>
                <c:pt idx="49">
                  <c:v>-6623.128255208333</c:v>
                </c:pt>
                <c:pt idx="50">
                  <c:v>-11269.124348958332</c:v>
                </c:pt>
                <c:pt idx="51">
                  <c:v>7137.8580729166661</c:v>
                </c:pt>
                <c:pt idx="52">
                  <c:v>-6693.1152343749991</c:v>
                </c:pt>
                <c:pt idx="53">
                  <c:v>5885.0097656249991</c:v>
                </c:pt>
                <c:pt idx="54">
                  <c:v>11358.235677083332</c:v>
                </c:pt>
                <c:pt idx="55">
                  <c:v>-13073.323567708332</c:v>
                </c:pt>
                <c:pt idx="56">
                  <c:v>-12299.397786458332</c:v>
                </c:pt>
                <c:pt idx="57">
                  <c:v>-12980.957031249998</c:v>
                </c:pt>
                <c:pt idx="58">
                  <c:v>9375</c:v>
                </c:pt>
                <c:pt idx="59">
                  <c:v>-3115.6412760416665</c:v>
                </c:pt>
                <c:pt idx="60">
                  <c:v>6128.3365885416661</c:v>
                </c:pt>
                <c:pt idx="61">
                  <c:v>-12159.830729166666</c:v>
                </c:pt>
                <c:pt idx="62">
                  <c:v>-7341.7154947916661</c:v>
                </c:pt>
                <c:pt idx="63">
                  <c:v>-7522.3795572916661</c:v>
                </c:pt>
                <c:pt idx="64">
                  <c:v>-5730.3873697916661</c:v>
                </c:pt>
                <c:pt idx="65">
                  <c:v>-7368.977864583333</c:v>
                </c:pt>
                <c:pt idx="66">
                  <c:v>-8897.2981770833321</c:v>
                </c:pt>
                <c:pt idx="67">
                  <c:v>-12183.024088541666</c:v>
                </c:pt>
                <c:pt idx="68">
                  <c:v>12871.093749999998</c:v>
                </c:pt>
                <c:pt idx="69">
                  <c:v>12510.579427083332</c:v>
                </c:pt>
                <c:pt idx="70">
                  <c:v>11425.374348958332</c:v>
                </c:pt>
                <c:pt idx="71">
                  <c:v>-13105.061848958332</c:v>
                </c:pt>
                <c:pt idx="72">
                  <c:v>-9524.3326822916661</c:v>
                </c:pt>
                <c:pt idx="73">
                  <c:v>-5749.5117187499991</c:v>
                </c:pt>
                <c:pt idx="74">
                  <c:v>6830.647786458333</c:v>
                </c:pt>
                <c:pt idx="75">
                  <c:v>-7615.9667968749991</c:v>
                </c:pt>
                <c:pt idx="76">
                  <c:v>10678.710937499998</c:v>
                </c:pt>
                <c:pt idx="77">
                  <c:v>7838.5416666666661</c:v>
                </c:pt>
                <c:pt idx="78">
                  <c:v>7188.313802083333</c:v>
                </c:pt>
                <c:pt idx="79">
                  <c:v>7993.1640624999991</c:v>
                </c:pt>
                <c:pt idx="80">
                  <c:v>11077.880859374998</c:v>
                </c:pt>
                <c:pt idx="81">
                  <c:v>-5253.0924479166661</c:v>
                </c:pt>
                <c:pt idx="82">
                  <c:v>-12804.768880208332</c:v>
                </c:pt>
                <c:pt idx="83">
                  <c:v>5924.0722656249991</c:v>
                </c:pt>
                <c:pt idx="84">
                  <c:v>-11.393229166666666</c:v>
                </c:pt>
                <c:pt idx="85">
                  <c:v>1961.6699218749998</c:v>
                </c:pt>
                <c:pt idx="86">
                  <c:v>1125.0813802083333</c:v>
                </c:pt>
                <c:pt idx="87">
                  <c:v>1536.4583333333333</c:v>
                </c:pt>
                <c:pt idx="88">
                  <c:v>-12027.994791666666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78304"/>
        <c:axId val="401778960"/>
      </c:scatterChart>
      <c:valAx>
        <c:axId val="773080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688"/>
        <c:crosses val="autoZero"/>
        <c:crossBetween val="midCat"/>
      </c:valAx>
      <c:valAx>
        <c:axId val="7730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Tension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360"/>
        <c:crosses val="autoZero"/>
        <c:crossBetween val="midCat"/>
      </c:valAx>
      <c:valAx>
        <c:axId val="4017789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Courant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1778304"/>
        <c:crosses val="max"/>
        <c:crossBetween val="midCat"/>
      </c:valAx>
      <c:valAx>
        <c:axId val="4017783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177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28576</xdr:rowOff>
    </xdr:from>
    <xdr:to>
      <xdr:col>20</xdr:col>
      <xdr:colOff>323850</xdr:colOff>
      <xdr:row>21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0B3CB9-E9D4-44D3-8E21-A6F147CCB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28575</xdr:colOff>
      <xdr:row>0</xdr:row>
      <xdr:rowOff>47625</xdr:rowOff>
    </xdr:from>
    <xdr:to>
      <xdr:col>7</xdr:col>
      <xdr:colOff>9525</xdr:colOff>
      <xdr:row>1</xdr:row>
      <xdr:rowOff>171450</xdr:rowOff>
    </xdr:to>
    <xdr:sp macro="[0]!Rectangle2_Click" textlink="">
      <xdr:nvSpPr>
        <xdr:cNvPr id="3" name="Rectangle 2">
          <a:extLst>
            <a:ext uri="{FF2B5EF4-FFF2-40B4-BE49-F238E27FC236}">
              <a16:creationId xmlns:a16="http://schemas.microsoft.com/office/drawing/2014/main" id="{E36F7E39-3066-4D12-A26B-B28A0477BB3F}"/>
            </a:ext>
          </a:extLst>
        </xdr:cNvPr>
        <xdr:cNvSpPr/>
      </xdr:nvSpPr>
      <xdr:spPr>
        <a:xfrm>
          <a:off x="3162300" y="47625"/>
          <a:ext cx="55245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Query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7" unboundColumnsRight="4">
    <queryTableFields count="6">
      <queryTableField id="1" name="Column1" tableColumnId="1"/>
      <queryTableField id="2" name="Column2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E94D41-142B-4326-B960-4263C333E552}" name="teraterm" displayName="teraterm" ref="A1:F256" tableType="queryTable" totalsRowShown="0" headerRowDxfId="7" dataDxfId="6">
  <autoFilter ref="A1:F256" xr:uid="{59876A78-4B50-4B89-A956-9EF264FBE4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6CCB6EC-2E71-4782-BC8B-B804AB00774B}" uniqueName="1" name="Column1" queryTableFieldId="1" dataDxfId="5"/>
    <tableColumn id="2" xr3:uid="{147C4680-2907-4E5E-A4F0-91C8FD2210DA}" uniqueName="2" name="Column2" queryTableFieldId="2" dataDxfId="4"/>
    <tableColumn id="3" xr3:uid="{82FA24D1-7923-4318-BF07-89A96DD1F29B}" uniqueName="3" name="V(V)" queryTableFieldId="3" dataDxfId="3">
      <calculatedColumnFormula>(teraterm[[#This Row],[Value(V)]]+$K$2)*$S$2</calculatedColumnFormula>
    </tableColumn>
    <tableColumn id="4" xr3:uid="{BD5BA2A1-1673-4F98-8607-21E4354686E3}" uniqueName="4" name="I(mA)" queryTableFieldId="4" dataDxfId="2">
      <calculatedColumnFormula>(teraterm[[#This Row],[Column2]]-Q$4)*$S$3*1000</calculatedColumnFormula>
    </tableColumn>
    <tableColumn id="5" xr3:uid="{F283EBE1-3657-4410-9954-79EC01FD15B6}" uniqueName="5" name="Value(V)" queryTableFieldId="5" dataDxfId="1">
      <calculatedColumnFormula>IF(ABS(VALUE(teraterm[[#This Row],[Column1]]))&lt;4096,VALUE(teraterm[[#This Row],[Column1]]),0)</calculatedColumnFormula>
    </tableColumn>
    <tableColumn id="6" xr3:uid="{A526BA89-383A-494C-93E5-C20A9281FF8D}" uniqueName="6" name="V²" queryTableFieldId="6" dataDxfId="0">
      <calculatedColumnFormula>teraterm[[#This Row],[V(V)]]^2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9B1D-5EB7-476F-A909-98813A2B061E}">
  <sheetPr codeName="Sheet1"/>
  <dimension ref="A1:T256"/>
  <sheetViews>
    <sheetView tabSelected="1" topLeftCell="A31" zoomScaleNormal="100" workbookViewId="0">
      <selection activeCell="I43" sqref="I43"/>
    </sheetView>
  </sheetViews>
  <sheetFormatPr defaultRowHeight="15" x14ac:dyDescent="0.25"/>
  <cols>
    <col min="1" max="1" width="13.42578125" style="1" bestFit="1" customWidth="1"/>
    <col min="2" max="2" width="13.42578125" style="2" bestFit="1" customWidth="1"/>
    <col min="3" max="3" width="9.5703125" style="1" bestFit="1" customWidth="1"/>
    <col min="4" max="4" width="10.5703125" style="1" bestFit="1" customWidth="1"/>
    <col min="5" max="5" width="13.42578125" style="1" customWidth="1"/>
    <col min="6" max="6" width="8.5703125" style="1" bestFit="1" customWidth="1"/>
    <col min="7" max="7" width="8.5703125" style="1" customWidth="1"/>
    <col min="8" max="8" width="4" style="2" bestFit="1" customWidth="1"/>
    <col min="9" max="9" width="14.42578125" style="2" customWidth="1"/>
    <col min="10" max="10" width="7.28515625" style="2" bestFit="1" customWidth="1"/>
    <col min="11" max="11" width="10.28515625" style="2" customWidth="1"/>
    <col min="12" max="12" width="9.5703125" style="2" bestFit="1" customWidth="1"/>
    <col min="13" max="13" width="8.85546875" style="2" customWidth="1"/>
    <col min="14" max="14" width="6.42578125" style="2" customWidth="1"/>
    <col min="15" max="15" width="8.7109375" style="2" customWidth="1"/>
    <col min="16" max="16" width="9.140625" style="2"/>
    <col min="17" max="17" width="8.140625" style="2" bestFit="1" customWidth="1"/>
    <col min="18" max="18" width="7.5703125" style="2" bestFit="1" customWidth="1"/>
    <col min="19" max="19" width="10.42578125" style="2" customWidth="1"/>
    <col min="20" max="16384" width="9.140625" style="2"/>
  </cols>
  <sheetData>
    <row r="1" spans="1:20" x14ac:dyDescent="0.25">
      <c r="A1" s="1" t="s">
        <v>0</v>
      </c>
      <c r="B1" s="2" t="s">
        <v>1</v>
      </c>
      <c r="C1" s="1" t="s">
        <v>5</v>
      </c>
      <c r="D1" s="1" t="s">
        <v>20</v>
      </c>
      <c r="E1" s="1" t="s">
        <v>6</v>
      </c>
      <c r="F1" s="1" t="s">
        <v>7</v>
      </c>
      <c r="J1" s="2" t="s">
        <v>8</v>
      </c>
      <c r="K1" s="3">
        <f>SQRT(AVERAGE(F:F))</f>
        <v>154.5060360117867</v>
      </c>
      <c r="L1" s="2" t="s">
        <v>3</v>
      </c>
      <c r="M1" s="2">
        <v>330</v>
      </c>
      <c r="N1" s="2" t="s">
        <v>4</v>
      </c>
      <c r="O1" s="2">
        <v>2</v>
      </c>
      <c r="Q1" s="2" t="s">
        <v>14</v>
      </c>
      <c r="R1" s="2" t="s">
        <v>16</v>
      </c>
      <c r="S1" s="2" t="s">
        <v>15</v>
      </c>
    </row>
    <row r="2" spans="1:20" x14ac:dyDescent="0.25">
      <c r="A2" s="7">
        <v>2212</v>
      </c>
      <c r="B2" s="2">
        <v>-28109</v>
      </c>
      <c r="C2" s="1">
        <f>(teraterm[[#This Row],[Value(V)]]+$K$2)*$S$2</f>
        <v>-71.85498046875</v>
      </c>
      <c r="D2" s="1">
        <f>(teraterm[[#This Row],[Column2]]-Q$4)*$S$3*1000</f>
        <v>-11437.581380208332</v>
      </c>
      <c r="E2" s="1">
        <f>IF(ABS(VALUE(teraterm[[#This Row],[Column1]]))&lt;4096,VALUE(teraterm[[#This Row],[Column1]]),0)</f>
        <v>2212</v>
      </c>
      <c r="F2" s="1">
        <f>teraterm[[#This Row],[V(V)]]^2</f>
        <v>5163.138218164444</v>
      </c>
      <c r="J2" s="2" t="s">
        <v>2</v>
      </c>
      <c r="K2" s="2">
        <v>-3000</v>
      </c>
      <c r="L2" s="2" t="s">
        <v>11</v>
      </c>
      <c r="M2" s="1">
        <f>MIN(E:E)</f>
        <v>134</v>
      </c>
      <c r="N2" s="2" t="s">
        <v>12</v>
      </c>
      <c r="O2" s="2">
        <f>MAX(E:E)</f>
        <v>4064</v>
      </c>
      <c r="P2" s="2" t="s">
        <v>17</v>
      </c>
      <c r="Q2" s="4">
        <f>5/4096</f>
        <v>1.220703125E-3</v>
      </c>
      <c r="R2" s="4">
        <f>(M1+O1)/O1</f>
        <v>166</v>
      </c>
      <c r="S2" s="4">
        <f>R2*Q2*K4</f>
        <v>9.11865234375E-2</v>
      </c>
      <c r="T2" s="4"/>
    </row>
    <row r="3" spans="1:20" x14ac:dyDescent="0.25">
      <c r="A3" s="7">
        <v>2479</v>
      </c>
      <c r="B3" s="2">
        <v>-25707</v>
      </c>
      <c r="C3" s="1">
        <f>(teraterm[[#This Row],[Value(V)]]+$K$2)*$S$2</f>
        <v>-47.5081787109375</v>
      </c>
      <c r="D3" s="1">
        <f>(teraterm[[#This Row],[Column2]]-Q$4)*$S$3*1000</f>
        <v>-10460.205078124998</v>
      </c>
      <c r="E3" s="1">
        <f>IF(ABS(VALUE(teraterm[[#This Row],[Column1]]))&lt;4096,VALUE(teraterm[[#This Row],[Column1]]),0)</f>
        <v>2479</v>
      </c>
      <c r="F3" s="1">
        <f>teraterm[[#This Row],[V(V)]]^2</f>
        <v>2257.0270444303751</v>
      </c>
      <c r="J3" s="2" t="s">
        <v>9</v>
      </c>
      <c r="K3" s="2">
        <v>232.9</v>
      </c>
      <c r="L3" s="2" t="s">
        <v>11</v>
      </c>
      <c r="M3" s="1">
        <f>MIN(C:C)</f>
        <v>-261.340576171875</v>
      </c>
      <c r="N3" s="2" t="s">
        <v>12</v>
      </c>
      <c r="O3" s="1">
        <f>MAX(C:C)</f>
        <v>97.0224609375</v>
      </c>
      <c r="P3" s="2" t="s">
        <v>18</v>
      </c>
      <c r="Q3" s="4">
        <f>2.5/4096</f>
        <v>6.103515625E-4</v>
      </c>
      <c r="R3" s="4">
        <f>1/(50*0.03)</f>
        <v>0.66666666666666663</v>
      </c>
      <c r="S3" s="6">
        <f>R3*Q3</f>
        <v>4.0690104166666663E-4</v>
      </c>
    </row>
    <row r="4" spans="1:20" x14ac:dyDescent="0.25">
      <c r="A4" s="7">
        <v>2735</v>
      </c>
      <c r="B4" s="2">
        <v>-26375</v>
      </c>
      <c r="C4" s="1">
        <f>(teraterm[[#This Row],[Value(V)]]+$K$2)*$S$2</f>
        <v>-24.1644287109375</v>
      </c>
      <c r="D4" s="1">
        <f>(teraterm[[#This Row],[Column2]]-Q$4)*$S$3*1000</f>
        <v>-10732.014973958332</v>
      </c>
      <c r="E4" s="1">
        <f>IF(ABS(VALUE(teraterm[[#This Row],[Column1]]))&lt;4096,VALUE(teraterm[[#This Row],[Column1]]),0)</f>
        <v>2735</v>
      </c>
      <c r="F4" s="1">
        <f>teraterm[[#This Row],[V(V)]]^2</f>
        <v>583.91961492598057</v>
      </c>
      <c r="J4" s="2" t="s">
        <v>13</v>
      </c>
      <c r="K4" s="4">
        <v>0.45</v>
      </c>
      <c r="L4" s="2" t="s">
        <v>10</v>
      </c>
      <c r="M4" s="5">
        <f>K3/K1 -1</f>
        <v>0.50738447514265994</v>
      </c>
      <c r="N4" s="2" t="s">
        <v>2</v>
      </c>
      <c r="O4" s="1">
        <f>(O3+M3)/2</f>
        <v>-82.1590576171875</v>
      </c>
      <c r="P4" s="2" t="s">
        <v>19</v>
      </c>
      <c r="Q4" s="1">
        <v>0</v>
      </c>
      <c r="R4" s="1">
        <f>AVERAGE(B:B)</f>
        <v>1565.5294117647059</v>
      </c>
    </row>
    <row r="5" spans="1:20" x14ac:dyDescent="0.25">
      <c r="A5" s="7">
        <v>2994</v>
      </c>
      <c r="B5" s="2">
        <v>-26531</v>
      </c>
      <c r="C5" s="1">
        <f>(teraterm[[#This Row],[Value(V)]]+$K$2)*$S$2</f>
        <v>-0.547119140625</v>
      </c>
      <c r="D5" s="1">
        <f>(teraterm[[#This Row],[Column2]]-Q$4)*$S$3*1000</f>
        <v>-10795.491536458332</v>
      </c>
      <c r="E5" s="1">
        <f>IF(ABS(VALUE(teraterm[[#This Row],[Column1]]))&lt;4096,VALUE(teraterm[[#This Row],[Column1]]),0)</f>
        <v>2994</v>
      </c>
      <c r="F5" s="1">
        <f>teraterm[[#This Row],[V(V)]]^2</f>
        <v>0.29933935403823853</v>
      </c>
    </row>
    <row r="6" spans="1:20" x14ac:dyDescent="0.25">
      <c r="A6" s="7">
        <v>3221</v>
      </c>
      <c r="B6" s="2">
        <v>30433</v>
      </c>
      <c r="C6" s="1">
        <f>(teraterm[[#This Row],[Value(V)]]+$K$2)*$S$2</f>
        <v>20.1522216796875</v>
      </c>
      <c r="D6" s="1">
        <f>(teraterm[[#This Row],[Column2]]-Q$4)*$S$3*1000</f>
        <v>12383.219401041666</v>
      </c>
      <c r="E6" s="1">
        <f>IF(ABS(VALUE(teraterm[[#This Row],[Column1]]))&lt;4096,VALUE(teraterm[[#This Row],[Column1]]),0)</f>
        <v>3221</v>
      </c>
      <c r="F6" s="1">
        <f>teraterm[[#This Row],[V(V)]]^2</f>
        <v>406.11203862726688</v>
      </c>
    </row>
    <row r="7" spans="1:20" x14ac:dyDescent="0.25">
      <c r="A7" s="7">
        <v>3437</v>
      </c>
      <c r="B7" s="2">
        <v>18834</v>
      </c>
      <c r="C7" s="1">
        <f>(teraterm[[#This Row],[Value(V)]]+$K$2)*$S$2</f>
        <v>39.8485107421875</v>
      </c>
      <c r="D7" s="1">
        <f>(teraterm[[#This Row],[Column2]]-Q$4)*$S$3*1000</f>
        <v>7663.5742187499991</v>
      </c>
      <c r="E7" s="1">
        <f>IF(ABS(VALUE(teraterm[[#This Row],[Column1]]))&lt;4096,VALUE(teraterm[[#This Row],[Column1]]),0)</f>
        <v>3437</v>
      </c>
      <c r="F7" s="1">
        <f>teraterm[[#This Row],[V(V)]]^2</f>
        <v>1587.9038083702326</v>
      </c>
    </row>
    <row r="8" spans="1:20" x14ac:dyDescent="0.25">
      <c r="A8" s="7">
        <v>3650</v>
      </c>
      <c r="B8" s="2">
        <v>6259</v>
      </c>
      <c r="C8" s="1">
        <f>(teraterm[[#This Row],[Value(V)]]+$K$2)*$S$2</f>
        <v>59.271240234375</v>
      </c>
      <c r="D8" s="1">
        <f>(teraterm[[#This Row],[Column2]]-Q$4)*$S$3*1000</f>
        <v>2546.7936197916665</v>
      </c>
      <c r="E8" s="1">
        <f>IF(ABS(VALUE(teraterm[[#This Row],[Column1]]))&lt;4096,VALUE(teraterm[[#This Row],[Column1]]),0)</f>
        <v>3650</v>
      </c>
      <c r="F8" s="1">
        <f>teraterm[[#This Row],[V(V)]]^2</f>
        <v>3513.0799189209938</v>
      </c>
    </row>
    <row r="9" spans="1:20" x14ac:dyDescent="0.25">
      <c r="A9" s="7">
        <v>3780</v>
      </c>
      <c r="B9" s="2">
        <v>-27688</v>
      </c>
      <c r="C9" s="1">
        <f>(teraterm[[#This Row],[Value(V)]]+$K$2)*$S$2</f>
        <v>71.12548828125</v>
      </c>
      <c r="D9" s="1">
        <f>(teraterm[[#This Row],[Column2]]-Q$4)*$S$3*1000</f>
        <v>-11266.276041666666</v>
      </c>
      <c r="E9" s="1">
        <f>IF(ABS(VALUE(teraterm[[#This Row],[Column1]]))&lt;4096,VALUE(teraterm[[#This Row],[Column1]]),0)</f>
        <v>3780</v>
      </c>
      <c r="F9" s="1">
        <f>teraterm[[#This Row],[V(V)]]^2</f>
        <v>5058.8350832462311</v>
      </c>
    </row>
    <row r="10" spans="1:20" x14ac:dyDescent="0.25">
      <c r="A10" s="7">
        <v>3918</v>
      </c>
      <c r="B10" s="2">
        <v>5818</v>
      </c>
      <c r="C10" s="1">
        <f>(teraterm[[#This Row],[Value(V)]]+$K$2)*$S$2</f>
        <v>83.709228515625</v>
      </c>
      <c r="D10" s="1">
        <f>(teraterm[[#This Row],[Column2]]-Q$4)*$S$3*1000</f>
        <v>2367.3502604166665</v>
      </c>
      <c r="E10" s="1">
        <f>IF(ABS(VALUE(teraterm[[#This Row],[Column1]]))&lt;4096,VALUE(teraterm[[#This Row],[Column1]]),0)</f>
        <v>3918</v>
      </c>
      <c r="F10" s="1">
        <f>teraterm[[#This Row],[V(V)]]^2</f>
        <v>7007.2349386811256</v>
      </c>
    </row>
    <row r="11" spans="1:20" x14ac:dyDescent="0.25">
      <c r="A11" s="7">
        <v>4004</v>
      </c>
      <c r="B11" s="2">
        <v>25933</v>
      </c>
      <c r="C11" s="1">
        <f>(teraterm[[#This Row],[Value(V)]]+$K$2)*$S$2</f>
        <v>91.55126953125</v>
      </c>
      <c r="D11" s="1">
        <f>(teraterm[[#This Row],[Column2]]-Q$4)*$S$3*1000</f>
        <v>10552.164713541666</v>
      </c>
      <c r="E11" s="1">
        <f>IF(ABS(VALUE(teraterm[[#This Row],[Column1]]))&lt;4096,VALUE(teraterm[[#This Row],[Column1]]),0)</f>
        <v>4004</v>
      </c>
      <c r="F11" s="1">
        <f>teraterm[[#This Row],[V(V)]]^2</f>
        <v>8381.6349527835846</v>
      </c>
    </row>
    <row r="12" spans="1:20" x14ac:dyDescent="0.25">
      <c r="A12" s="7">
        <v>4038</v>
      </c>
      <c r="B12" s="2">
        <v>32709</v>
      </c>
      <c r="C12" s="1">
        <f>(teraterm[[#This Row],[Value(V)]]+$K$2)*$S$2</f>
        <v>94.651611328125</v>
      </c>
      <c r="D12" s="1">
        <f>(teraterm[[#This Row],[Column2]]-Q$4)*$S$3*1000</f>
        <v>13309.326171874998</v>
      </c>
      <c r="E12" s="1">
        <f>IF(ABS(VALUE(teraterm[[#This Row],[Column1]]))&lt;4096,VALUE(teraterm[[#This Row],[Column1]]),0)</f>
        <v>4038</v>
      </c>
      <c r="F12" s="1">
        <f>teraterm[[#This Row],[V(V)]]^2</f>
        <v>8958.9275270104408</v>
      </c>
    </row>
    <row r="13" spans="1:20" x14ac:dyDescent="0.25">
      <c r="A13" s="7">
        <v>4056</v>
      </c>
      <c r="B13" s="2">
        <v>-30157</v>
      </c>
      <c r="C13" s="1">
        <f>(teraterm[[#This Row],[Value(V)]]+$K$2)*$S$2</f>
        <v>96.29296875</v>
      </c>
      <c r="D13" s="1">
        <f>(teraterm[[#This Row],[Column2]]-Q$4)*$S$3*1000</f>
        <v>-12270.914713541666</v>
      </c>
      <c r="E13" s="1">
        <f>IF(ABS(VALUE(teraterm[[#This Row],[Column1]]))&lt;4096,VALUE(teraterm[[#This Row],[Column1]]),0)</f>
        <v>4056</v>
      </c>
      <c r="F13" s="1">
        <f>teraterm[[#This Row],[V(V)]]^2</f>
        <v>9272.3358306884766</v>
      </c>
    </row>
    <row r="14" spans="1:20" x14ac:dyDescent="0.25">
      <c r="A14" s="7">
        <v>4063</v>
      </c>
      <c r="B14" s="2">
        <v>-30303</v>
      </c>
      <c r="C14" s="1">
        <f>(teraterm[[#This Row],[Value(V)]]+$K$2)*$S$2</f>
        <v>96.9312744140625</v>
      </c>
      <c r="D14" s="1">
        <f>(teraterm[[#This Row],[Column2]]-Q$4)*$S$3*1000</f>
        <v>-12330.322265624998</v>
      </c>
      <c r="E14" s="1">
        <f>IF(ABS(VALUE(teraterm[[#This Row],[Column1]]))&lt;4096,VALUE(teraterm[[#This Row],[Column1]]),0)</f>
        <v>4063</v>
      </c>
      <c r="F14" s="1">
        <f>teraterm[[#This Row],[V(V)]]^2</f>
        <v>9395.6719595342875</v>
      </c>
    </row>
    <row r="15" spans="1:20" x14ac:dyDescent="0.25">
      <c r="A15" s="7">
        <v>4049</v>
      </c>
      <c r="B15" s="2">
        <v>29733</v>
      </c>
      <c r="C15" s="1">
        <f>(teraterm[[#This Row],[Value(V)]]+$K$2)*$S$2</f>
        <v>95.6546630859375</v>
      </c>
      <c r="D15" s="1">
        <f>(teraterm[[#This Row],[Column2]]-Q$4)*$S$3*1000</f>
        <v>12098.388671874998</v>
      </c>
      <c r="E15" s="1">
        <f>IF(ABS(VALUE(teraterm[[#This Row],[Column1]]))&lt;4096,VALUE(teraterm[[#This Row],[Column1]]),0)</f>
        <v>4049</v>
      </c>
      <c r="F15" s="1">
        <f>teraterm[[#This Row],[V(V)]]^2</f>
        <v>9149.8145700842142</v>
      </c>
    </row>
    <row r="16" spans="1:20" x14ac:dyDescent="0.25">
      <c r="A16" s="7">
        <v>3951</v>
      </c>
      <c r="B16" s="2">
        <v>2834</v>
      </c>
      <c r="C16" s="1">
        <f>(teraterm[[#This Row],[Value(V)]]+$K$2)*$S$2</f>
        <v>86.7183837890625</v>
      </c>
      <c r="D16" s="1">
        <f>(teraterm[[#This Row],[Column2]]-Q$4)*$S$3*1000</f>
        <v>1153.1575520833333</v>
      </c>
      <c r="E16" s="1">
        <f>IF(ABS(VALUE(teraterm[[#This Row],[Column1]]))&lt;4096,VALUE(teraterm[[#This Row],[Column1]]),0)</f>
        <v>3951</v>
      </c>
      <c r="F16" s="1">
        <f>teraterm[[#This Row],[V(V)]]^2</f>
        <v>7520.0780869871378</v>
      </c>
    </row>
    <row r="17" spans="1:6" x14ac:dyDescent="0.25">
      <c r="A17" s="7">
        <v>3809</v>
      </c>
      <c r="B17" s="2">
        <v>30356</v>
      </c>
      <c r="C17" s="1">
        <f>(teraterm[[#This Row],[Value(V)]]+$K$2)*$S$2</f>
        <v>73.7698974609375</v>
      </c>
      <c r="D17" s="1">
        <f>(teraterm[[#This Row],[Column2]]-Q$4)*$S$3*1000</f>
        <v>12351.888020833332</v>
      </c>
      <c r="E17" s="1">
        <f>IF(ABS(VALUE(teraterm[[#This Row],[Column1]]))&lt;4096,VALUE(teraterm[[#This Row],[Column1]]),0)</f>
        <v>3809</v>
      </c>
      <c r="F17" s="1">
        <f>teraterm[[#This Row],[V(V)]]^2</f>
        <v>5441.997771397233</v>
      </c>
    </row>
    <row r="18" spans="1:6" x14ac:dyDescent="0.25">
      <c r="A18" s="7">
        <v>3638</v>
      </c>
      <c r="B18" s="2">
        <v>-14904</v>
      </c>
      <c r="C18" s="1">
        <f>(teraterm[[#This Row],[Value(V)]]+$K$2)*$S$2</f>
        <v>58.177001953125</v>
      </c>
      <c r="D18" s="1">
        <f>(teraterm[[#This Row],[Column2]]-Q$4)*$S$3*1000</f>
        <v>-6064.4531249999991</v>
      </c>
      <c r="E18" s="1">
        <f>IF(ABS(VALUE(teraterm[[#This Row],[Column1]]))&lt;4096,VALUE(teraterm[[#This Row],[Column1]]),0)</f>
        <v>3638</v>
      </c>
      <c r="F18" s="1">
        <f>teraterm[[#This Row],[V(V)]]^2</f>
        <v>3384.5635562539101</v>
      </c>
    </row>
    <row r="19" spans="1:6" x14ac:dyDescent="0.25">
      <c r="A19" s="7">
        <v>3471</v>
      </c>
      <c r="B19" s="2">
        <v>6569</v>
      </c>
      <c r="C19" s="1">
        <f>(teraterm[[#This Row],[Value(V)]]+$K$2)*$S$2</f>
        <v>42.9488525390625</v>
      </c>
      <c r="D19" s="1">
        <f>(teraterm[[#This Row],[Column2]]-Q$4)*$S$3*1000</f>
        <v>2672.932942708333</v>
      </c>
      <c r="E19" s="1">
        <f>IF(ABS(VALUE(teraterm[[#This Row],[Column1]]))&lt;4096,VALUE(teraterm[[#This Row],[Column1]]),0)</f>
        <v>3471</v>
      </c>
      <c r="F19" s="1">
        <f>teraterm[[#This Row],[V(V)]]^2</f>
        <v>1844.6039344221354</v>
      </c>
    </row>
    <row r="20" spans="1:6" x14ac:dyDescent="0.25">
      <c r="A20" s="7">
        <v>3209</v>
      </c>
      <c r="B20" s="2">
        <v>3989</v>
      </c>
      <c r="C20" s="1">
        <f>(teraterm[[#This Row],[Value(V)]]+$K$2)*$S$2</f>
        <v>19.0579833984375</v>
      </c>
      <c r="D20" s="1">
        <f>(teraterm[[#This Row],[Column2]]-Q$4)*$S$3*1000</f>
        <v>1623.1282552083333</v>
      </c>
      <c r="E20" s="1">
        <f>IF(ABS(VALUE(teraterm[[#This Row],[Column1]]))&lt;4096,VALUE(teraterm[[#This Row],[Column1]]),0)</f>
        <v>3209</v>
      </c>
      <c r="F20" s="1">
        <f>teraterm[[#This Row],[V(V)]]^2</f>
        <v>363.20673121511936</v>
      </c>
    </row>
    <row r="21" spans="1:6" x14ac:dyDescent="0.25">
      <c r="A21" s="7">
        <v>2967</v>
      </c>
      <c r="B21" s="2">
        <v>6775</v>
      </c>
      <c r="C21" s="1">
        <f>(teraterm[[#This Row],[Value(V)]]+$K$2)*$S$2</f>
        <v>-3.0091552734375</v>
      </c>
      <c r="D21" s="1">
        <f>(teraterm[[#This Row],[Column2]]-Q$4)*$S$3*1000</f>
        <v>2756.7545572916665</v>
      </c>
      <c r="E21" s="1">
        <f>IF(ABS(VALUE(teraterm[[#This Row],[Column1]]))&lt;4096,VALUE(teraterm[[#This Row],[Column1]]),0)</f>
        <v>2967</v>
      </c>
      <c r="F21" s="1">
        <f>teraterm[[#This Row],[V(V)]]^2</f>
        <v>9.0550154596567154</v>
      </c>
    </row>
    <row r="22" spans="1:6" x14ac:dyDescent="0.25">
      <c r="A22" s="7">
        <v>2718</v>
      </c>
      <c r="B22" s="2">
        <v>8021</v>
      </c>
      <c r="C22" s="1">
        <f>(teraterm[[#This Row],[Value(V)]]+$K$2)*$S$2</f>
        <v>-25.714599609375</v>
      </c>
      <c r="D22" s="1">
        <f>(teraterm[[#This Row],[Column2]]-Q$4)*$S$3*1000</f>
        <v>3263.753255208333</v>
      </c>
      <c r="E22" s="1">
        <f>IF(ABS(VALUE(teraterm[[#This Row],[Column1]]))&lt;4096,VALUE(teraterm[[#This Row],[Column1]]),0)</f>
        <v>2718</v>
      </c>
      <c r="F22" s="1">
        <f>teraterm[[#This Row],[V(V)]]^2</f>
        <v>661.2406330704689</v>
      </c>
    </row>
    <row r="23" spans="1:6" x14ac:dyDescent="0.25">
      <c r="A23" s="7">
        <v>2445</v>
      </c>
      <c r="B23" s="2">
        <v>3398</v>
      </c>
      <c r="C23" s="1">
        <f>(teraterm[[#This Row],[Value(V)]]+$K$2)*$S$2</f>
        <v>-50.6085205078125</v>
      </c>
      <c r="D23" s="1">
        <f>(teraterm[[#This Row],[Column2]]-Q$4)*$S$3*1000</f>
        <v>1382.6497395833333</v>
      </c>
      <c r="E23" s="1">
        <f>IF(ABS(VALUE(teraterm[[#This Row],[Column1]]))&lt;4096,VALUE(teraterm[[#This Row],[Column1]]),0)</f>
        <v>2445</v>
      </c>
      <c r="F23" s="1">
        <f>teraterm[[#This Row],[V(V)]]^2</f>
        <v>2561.2223479896784</v>
      </c>
    </row>
    <row r="24" spans="1:6" x14ac:dyDescent="0.25">
      <c r="A24" s="7">
        <v>2163</v>
      </c>
      <c r="B24" s="2">
        <v>-3246</v>
      </c>
      <c r="C24" s="1">
        <f>(teraterm[[#This Row],[Value(V)]]+$K$2)*$S$2</f>
        <v>-76.3231201171875</v>
      </c>
      <c r="D24" s="1">
        <f>(teraterm[[#This Row],[Column2]]-Q$4)*$S$3*1000</f>
        <v>-1320.8007812499998</v>
      </c>
      <c r="E24" s="1">
        <f>IF(ABS(VALUE(teraterm[[#This Row],[Column1]]))&lt;4096,VALUE(teraterm[[#This Row],[Column1]]),0)</f>
        <v>2163</v>
      </c>
      <c r="F24" s="1">
        <f>teraterm[[#This Row],[V(V)]]^2</f>
        <v>5825.2186644226313</v>
      </c>
    </row>
    <row r="25" spans="1:6" x14ac:dyDescent="0.25">
      <c r="A25" s="7">
        <v>1877</v>
      </c>
      <c r="B25" s="2">
        <v>-10628</v>
      </c>
      <c r="C25" s="1">
        <f>(teraterm[[#This Row],[Value(V)]]+$K$2)*$S$2</f>
        <v>-102.4024658203125</v>
      </c>
      <c r="D25" s="1">
        <f>(teraterm[[#This Row],[Column2]]-Q$4)*$S$3*1000</f>
        <v>-4324.544270833333</v>
      </c>
      <c r="E25" s="1">
        <f>IF(ABS(VALUE(teraterm[[#This Row],[Column1]]))&lt;4096,VALUE(teraterm[[#This Row],[Column1]]),0)</f>
        <v>1877</v>
      </c>
      <c r="F25" s="1">
        <f>teraterm[[#This Row],[V(V)]]^2</f>
        <v>10486.26500608027</v>
      </c>
    </row>
    <row r="26" spans="1:6" x14ac:dyDescent="0.25">
      <c r="A26" s="7">
        <v>1620</v>
      </c>
      <c r="B26" s="2">
        <v>-10330</v>
      </c>
      <c r="C26" s="1">
        <f>(teraterm[[#This Row],[Value(V)]]+$K$2)*$S$2</f>
        <v>-125.83740234375</v>
      </c>
      <c r="D26" s="1">
        <f>(teraterm[[#This Row],[Column2]]-Q$4)*$S$3*1000</f>
        <v>-4203.2877604166661</v>
      </c>
      <c r="E26" s="1">
        <f>IF(ABS(VALUE(teraterm[[#This Row],[Column1]]))&lt;4096,VALUE(teraterm[[#This Row],[Column1]]),0)</f>
        <v>1620</v>
      </c>
      <c r="F26" s="1">
        <f>teraterm[[#This Row],[V(V)]]^2</f>
        <v>15835.051828622818</v>
      </c>
    </row>
    <row r="27" spans="1:6" x14ac:dyDescent="0.25">
      <c r="A27" s="7">
        <v>1345</v>
      </c>
      <c r="B27" s="2">
        <v>-14367</v>
      </c>
      <c r="C27" s="1">
        <f>(teraterm[[#This Row],[Value(V)]]+$K$2)*$S$2</f>
        <v>-150.9136962890625</v>
      </c>
      <c r="D27" s="1">
        <f>(teraterm[[#This Row],[Column2]]-Q$4)*$S$3*1000</f>
        <v>-5845.9472656249991</v>
      </c>
      <c r="E27" s="1">
        <f>IF(ABS(VALUE(teraterm[[#This Row],[Column1]]))&lt;4096,VALUE(teraterm[[#This Row],[Column1]]),0)</f>
        <v>1345</v>
      </c>
      <c r="F27" s="1">
        <f>teraterm[[#This Row],[V(V)]]^2</f>
        <v>22774.943727627397</v>
      </c>
    </row>
    <row r="28" spans="1:6" x14ac:dyDescent="0.25">
      <c r="A28" s="7">
        <v>1094</v>
      </c>
      <c r="B28" s="2">
        <v>-12012</v>
      </c>
      <c r="C28" s="1">
        <f>(teraterm[[#This Row],[Value(V)]]+$K$2)*$S$2</f>
        <v>-173.801513671875</v>
      </c>
      <c r="D28" s="1">
        <f>(teraterm[[#This Row],[Column2]]-Q$4)*$S$3*1000</f>
        <v>-4887.6953125</v>
      </c>
      <c r="E28" s="1">
        <f>IF(ABS(VALUE(teraterm[[#This Row],[Column1]]))&lt;4096,VALUE(teraterm[[#This Row],[Column1]]),0)</f>
        <v>1094</v>
      </c>
      <c r="F28" s="1">
        <f>teraterm[[#This Row],[V(V)]]^2</f>
        <v>30206.966154634953</v>
      </c>
    </row>
    <row r="29" spans="1:6" x14ac:dyDescent="0.25">
      <c r="A29" s="7">
        <v>871</v>
      </c>
      <c r="B29" s="2">
        <v>-2271</v>
      </c>
      <c r="C29" s="1">
        <f>(teraterm[[#This Row],[Value(V)]]+$K$2)*$S$2</f>
        <v>-194.1361083984375</v>
      </c>
      <c r="D29" s="1">
        <f>(teraterm[[#This Row],[Column2]]-Q$4)*$S$3*1000</f>
        <v>-924.07226562499989</v>
      </c>
      <c r="E29" s="1">
        <f>IF(ABS(VALUE(teraterm[[#This Row],[Column1]]))&lt;4096,VALUE(teraterm[[#This Row],[Column1]]),0)</f>
        <v>871</v>
      </c>
      <c r="F29" s="1">
        <f>teraterm[[#This Row],[V(V)]]^2</f>
        <v>37688.828584089875</v>
      </c>
    </row>
    <row r="30" spans="1:6" x14ac:dyDescent="0.25">
      <c r="A30" s="7">
        <v>630</v>
      </c>
      <c r="B30" s="2">
        <v>3098</v>
      </c>
      <c r="C30" s="1">
        <f>(teraterm[[#This Row],[Value(V)]]+$K$2)*$S$2</f>
        <v>-216.112060546875</v>
      </c>
      <c r="D30" s="1">
        <f>(teraterm[[#This Row],[Column2]]-Q$4)*$S$3*1000</f>
        <v>1260.5794270833333</v>
      </c>
      <c r="E30" s="1">
        <f>IF(ABS(VALUE(teraterm[[#This Row],[Column1]]))&lt;4096,VALUE(teraterm[[#This Row],[Column1]]),0)</f>
        <v>630</v>
      </c>
      <c r="F30" s="1">
        <f>teraterm[[#This Row],[V(V)]]^2</f>
        <v>46704.422713816166</v>
      </c>
    </row>
    <row r="31" spans="1:6" x14ac:dyDescent="0.25">
      <c r="A31" s="7">
        <v>469</v>
      </c>
      <c r="B31" s="2">
        <v>29102</v>
      </c>
      <c r="C31" s="1">
        <f>(teraterm[[#This Row],[Value(V)]]+$K$2)*$S$2</f>
        <v>-230.7930908203125</v>
      </c>
      <c r="D31" s="1">
        <f>(teraterm[[#This Row],[Column2]]-Q$4)*$S$3*1000</f>
        <v>11841.634114583332</v>
      </c>
      <c r="E31" s="1">
        <f>IF(ABS(VALUE(teraterm[[#This Row],[Column1]]))&lt;4096,VALUE(teraterm[[#This Row],[Column1]]),0)</f>
        <v>469</v>
      </c>
      <c r="F31" s="1">
        <f>teraterm[[#This Row],[V(V)]]^2</f>
        <v>53265.450770393014</v>
      </c>
    </row>
    <row r="32" spans="1:6" x14ac:dyDescent="0.25">
      <c r="A32" s="7">
        <v>328</v>
      </c>
      <c r="B32" s="2">
        <v>-5175</v>
      </c>
      <c r="C32" s="1">
        <f>(teraterm[[#This Row],[Value(V)]]+$K$2)*$S$2</f>
        <v>-243.650390625</v>
      </c>
      <c r="D32" s="1">
        <f>(teraterm[[#This Row],[Column2]]-Q$4)*$S$3*1000</f>
        <v>-2105.712890625</v>
      </c>
      <c r="E32" s="1">
        <f>IF(ABS(VALUE(teraterm[[#This Row],[Column1]]))&lt;4096,VALUE(teraterm[[#This Row],[Column1]]),0)</f>
        <v>328</v>
      </c>
      <c r="F32" s="1">
        <f>teraterm[[#This Row],[V(V)]]^2</f>
        <v>59365.512851715088</v>
      </c>
    </row>
    <row r="33" spans="1:9" x14ac:dyDescent="0.25">
      <c r="A33" s="7">
        <v>207</v>
      </c>
      <c r="B33" s="2">
        <v>31318</v>
      </c>
      <c r="C33" s="1">
        <f>(teraterm[[#This Row],[Value(V)]]+$K$2)*$S$2</f>
        <v>-254.6839599609375</v>
      </c>
      <c r="D33" s="1">
        <f>(teraterm[[#This Row],[Column2]]-Q$4)*$S$3*1000</f>
        <v>12743.326822916666</v>
      </c>
      <c r="E33" s="1">
        <f>IF(ABS(VALUE(teraterm[[#This Row],[Column1]]))&lt;4096,VALUE(teraterm[[#This Row],[Column1]]),0)</f>
        <v>207</v>
      </c>
      <c r="F33" s="1">
        <f>teraterm[[#This Row],[V(V)]]^2</f>
        <v>64863.919461384416</v>
      </c>
    </row>
    <row r="34" spans="1:9" x14ac:dyDescent="0.25">
      <c r="A34" s="7">
        <v>160</v>
      </c>
      <c r="B34" s="2">
        <v>21258</v>
      </c>
      <c r="C34" s="1">
        <f>(teraterm[[#This Row],[Value(V)]]+$K$2)*$S$2</f>
        <v>-258.9697265625</v>
      </c>
      <c r="D34" s="1">
        <f>(teraterm[[#This Row],[Column2]]-Q$4)*$S$3*1000</f>
        <v>8649.90234375</v>
      </c>
      <c r="E34" s="1">
        <f>IF(ABS(VALUE(teraterm[[#This Row],[Column1]]))&lt;4096,VALUE(teraterm[[#This Row],[Column1]]),0)</f>
        <v>160</v>
      </c>
      <c r="F34" s="1">
        <f>teraterm[[#This Row],[V(V)]]^2</f>
        <v>67065.319275856018</v>
      </c>
    </row>
    <row r="35" spans="1:9" x14ac:dyDescent="0.25">
      <c r="A35" s="7">
        <v>139</v>
      </c>
      <c r="B35" s="2">
        <v>17867</v>
      </c>
      <c r="C35" s="1">
        <f>(teraterm[[#This Row],[Value(V)]]+$K$2)*$S$2</f>
        <v>-260.8846435546875</v>
      </c>
      <c r="D35" s="1">
        <f>(teraterm[[#This Row],[Column2]]-Q$4)*$S$3*1000</f>
        <v>7270.100911458333</v>
      </c>
      <c r="E35" s="1">
        <f>IF(ABS(VALUE(teraterm[[#This Row],[Column1]]))&lt;4096,VALUE(teraterm[[#This Row],[Column1]]),0)</f>
        <v>139</v>
      </c>
      <c r="F35" s="1">
        <f>teraterm[[#This Row],[V(V)]]^2</f>
        <v>68060.79724265635</v>
      </c>
    </row>
    <row r="36" spans="1:9" x14ac:dyDescent="0.25">
      <c r="A36" s="7">
        <v>134</v>
      </c>
      <c r="B36" s="2">
        <v>18570</v>
      </c>
      <c r="C36" s="1">
        <f>(teraterm[[#This Row],[Value(V)]]+$K$2)*$S$2</f>
        <v>-261.340576171875</v>
      </c>
      <c r="D36" s="1">
        <f>(teraterm[[#This Row],[Column2]]-Q$4)*$S$3*1000</f>
        <v>7556.1523437499991</v>
      </c>
      <c r="E36" s="1">
        <f>IF(ABS(VALUE(teraterm[[#This Row],[Column1]]))&lt;4096,VALUE(teraterm[[#This Row],[Column1]]),0)</f>
        <v>134</v>
      </c>
      <c r="F36" s="1">
        <f>teraterm[[#This Row],[V(V)]]^2</f>
        <v>68298.896753847599</v>
      </c>
    </row>
    <row r="37" spans="1:9" x14ac:dyDescent="0.25">
      <c r="A37" s="7">
        <v>147</v>
      </c>
      <c r="B37" s="2">
        <v>23860</v>
      </c>
      <c r="C37" s="1">
        <f>(teraterm[[#This Row],[Value(V)]]+$K$2)*$S$2</f>
        <v>-260.1551513671875</v>
      </c>
      <c r="D37" s="1">
        <f>(teraterm[[#This Row],[Column2]]-Q$4)*$S$3*1000</f>
        <v>9708.6588541666661</v>
      </c>
      <c r="E37" s="1">
        <f>IF(ABS(VALUE(teraterm[[#This Row],[Column1]]))&lt;4096,VALUE(teraterm[[#This Row],[Column1]]),0)</f>
        <v>147</v>
      </c>
      <c r="F37" s="1">
        <f>teraterm[[#This Row],[V(V)]]^2</f>
        <v>67680.70278288424</v>
      </c>
    </row>
    <row r="38" spans="1:9" x14ac:dyDescent="0.25">
      <c r="A38" s="7">
        <v>212</v>
      </c>
      <c r="B38" s="2">
        <v>-23147</v>
      </c>
      <c r="C38" s="1">
        <f>(teraterm[[#This Row],[Value(V)]]+$K$2)*$S$2</f>
        <v>-254.22802734375</v>
      </c>
      <c r="D38" s="1">
        <f>(teraterm[[#This Row],[Column2]]-Q$4)*$S$3*1000</f>
        <v>-9418.5384114583321</v>
      </c>
      <c r="E38" s="1">
        <f>IF(ABS(VALUE(teraterm[[#This Row],[Column1]]))&lt;4096,VALUE(teraterm[[#This Row],[Column1]]),0)</f>
        <v>212</v>
      </c>
      <c r="F38" s="1">
        <f>teraterm[[#This Row],[V(V)]]^2</f>
        <v>64631.889887094498</v>
      </c>
    </row>
    <row r="39" spans="1:9" x14ac:dyDescent="0.25">
      <c r="A39" s="7">
        <v>366</v>
      </c>
      <c r="B39" s="2">
        <v>18005</v>
      </c>
      <c r="C39" s="1">
        <f>(teraterm[[#This Row],[Value(V)]]+$K$2)*$S$2</f>
        <v>-240.185302734375</v>
      </c>
      <c r="D39" s="1">
        <f>(teraterm[[#This Row],[Column2]]-Q$4)*$S$3*1000</f>
        <v>7326.253255208333</v>
      </c>
      <c r="E39" s="1">
        <f>IF(ABS(VALUE(teraterm[[#This Row],[Column1]]))&lt;4096,VALUE(teraterm[[#This Row],[Column1]]),0)</f>
        <v>366</v>
      </c>
      <c r="F39" s="1">
        <f>teraterm[[#This Row],[V(V)]]^2</f>
        <v>57688.979649603367</v>
      </c>
      <c r="I39" s="2">
        <f>2^32</f>
        <v>4294967296</v>
      </c>
    </row>
    <row r="40" spans="1:9" x14ac:dyDescent="0.25">
      <c r="A40" s="7">
        <v>539</v>
      </c>
      <c r="B40" s="2">
        <v>-1695</v>
      </c>
      <c r="C40" s="1">
        <f>(teraterm[[#This Row],[Value(V)]]+$K$2)*$S$2</f>
        <v>-224.4100341796875</v>
      </c>
      <c r="D40" s="1">
        <f>(teraterm[[#This Row],[Column2]]-Q$4)*$S$3*1000</f>
        <v>-689.69726562499989</v>
      </c>
      <c r="E40" s="1">
        <f>IF(ABS(VALUE(teraterm[[#This Row],[Column1]]))&lt;4096,VALUE(teraterm[[#This Row],[Column1]]),0)</f>
        <v>539</v>
      </c>
      <c r="F40" s="1">
        <f>teraterm[[#This Row],[V(V)]]^2</f>
        <v>50359.863440528512</v>
      </c>
      <c r="I40" s="2">
        <f>64^2</f>
        <v>4096</v>
      </c>
    </row>
    <row r="41" spans="1:9" x14ac:dyDescent="0.25">
      <c r="A41" s="7">
        <v>729</v>
      </c>
      <c r="B41" s="2">
        <v>-17239</v>
      </c>
      <c r="C41" s="1">
        <f>(teraterm[[#This Row],[Value(V)]]+$K$2)*$S$2</f>
        <v>-207.0845947265625</v>
      </c>
      <c r="D41" s="1">
        <f>(teraterm[[#This Row],[Column2]]-Q$4)*$S$3*1000</f>
        <v>-7014.5670572916661</v>
      </c>
      <c r="E41" s="1">
        <f>IF(ABS(VALUE(teraterm[[#This Row],[Column1]]))&lt;4096,VALUE(teraterm[[#This Row],[Column1]]),0)</f>
        <v>729</v>
      </c>
      <c r="F41" s="1">
        <f>teraterm[[#This Row],[V(V)]]^2</f>
        <v>42884.029373064637</v>
      </c>
      <c r="I41" s="2">
        <f>I39/I40</f>
        <v>1048576</v>
      </c>
    </row>
    <row r="42" spans="1:9" x14ac:dyDescent="0.25">
      <c r="A42" s="7">
        <v>965</v>
      </c>
      <c r="B42" s="2">
        <v>-21248</v>
      </c>
      <c r="C42" s="1">
        <f>(teraterm[[#This Row],[Value(V)]]+$K$2)*$S$2</f>
        <v>-185.5645751953125</v>
      </c>
      <c r="D42" s="1">
        <f>(teraterm[[#This Row],[Column2]]-Q$4)*$S$3*1000</f>
        <v>-8645.8333333333321</v>
      </c>
      <c r="E42" s="1">
        <f>IF(ABS(VALUE(teraterm[[#This Row],[Column1]]))&lt;4096,VALUE(teraterm[[#This Row],[Column1]]),0)</f>
        <v>965</v>
      </c>
      <c r="F42" s="1">
        <f>teraterm[[#This Row],[V(V)]]^2</f>
        <v>34434.211567416787</v>
      </c>
      <c r="I42" s="2">
        <f>(2^31)/I41</f>
        <v>2048</v>
      </c>
    </row>
    <row r="43" spans="1:9" x14ac:dyDescent="0.25">
      <c r="A43" s="7">
        <v>1227</v>
      </c>
      <c r="B43" s="2">
        <v>-18867</v>
      </c>
      <c r="C43" s="1">
        <f>(teraterm[[#This Row],[Value(V)]]+$K$2)*$S$2</f>
        <v>-161.6737060546875</v>
      </c>
      <c r="D43" s="1">
        <f>(teraterm[[#This Row],[Column2]]-Q$4)*$S$3*1000</f>
        <v>-7677.0019531249991</v>
      </c>
      <c r="E43" s="1">
        <f>IF(ABS(VALUE(teraterm[[#This Row],[Column1]]))&lt;4096,VALUE(teraterm[[#This Row],[Column1]]),0)</f>
        <v>1227</v>
      </c>
      <c r="F43" s="1">
        <f>teraterm[[#This Row],[V(V)]]^2</f>
        <v>26138.387229457498</v>
      </c>
    </row>
    <row r="44" spans="1:9" x14ac:dyDescent="0.25">
      <c r="A44" s="7">
        <v>1470</v>
      </c>
      <c r="B44" s="2">
        <v>-21597</v>
      </c>
      <c r="C44" s="1">
        <f>(teraterm[[#This Row],[Value(V)]]+$K$2)*$S$2</f>
        <v>-139.515380859375</v>
      </c>
      <c r="D44" s="1">
        <f>(teraterm[[#This Row],[Column2]]-Q$4)*$S$3*1000</f>
        <v>-8787.841796875</v>
      </c>
      <c r="E44" s="1">
        <f>IF(ABS(VALUE(teraterm[[#This Row],[Column1]]))&lt;4096,VALUE(teraterm[[#This Row],[Column1]]),0)</f>
        <v>1470</v>
      </c>
      <c r="F44" s="1">
        <f>teraterm[[#This Row],[V(V)]]^2</f>
        <v>19464.54149633646</v>
      </c>
    </row>
    <row r="45" spans="1:9" x14ac:dyDescent="0.25">
      <c r="A45" s="7">
        <v>1751</v>
      </c>
      <c r="B45" s="2">
        <v>-14882</v>
      </c>
      <c r="C45" s="1">
        <f>(teraterm[[#This Row],[Value(V)]]+$K$2)*$S$2</f>
        <v>-113.8919677734375</v>
      </c>
      <c r="D45" s="1">
        <f>(teraterm[[#This Row],[Column2]]-Q$4)*$S$3*1000</f>
        <v>-6055.501302083333</v>
      </c>
      <c r="E45" s="1">
        <f>IF(ABS(VALUE(teraterm[[#This Row],[Column1]]))&lt;4096,VALUE(teraterm[[#This Row],[Column1]]),0)</f>
        <v>1751</v>
      </c>
      <c r="F45" s="1">
        <f>teraterm[[#This Row],[V(V)]]^2</f>
        <v>12971.380323305726</v>
      </c>
    </row>
    <row r="46" spans="1:9" x14ac:dyDescent="0.25">
      <c r="A46" s="7">
        <v>2026</v>
      </c>
      <c r="B46" s="2">
        <v>-9979</v>
      </c>
      <c r="C46" s="1">
        <f>(teraterm[[#This Row],[Value(V)]]+$K$2)*$S$2</f>
        <v>-88.815673828125</v>
      </c>
      <c r="D46" s="1">
        <f>(teraterm[[#This Row],[Column2]]-Q$4)*$S$3*1000</f>
        <v>-4060.4654947916661</v>
      </c>
      <c r="E46" s="1">
        <f>IF(ABS(VALUE(teraterm[[#This Row],[Column1]]))&lt;4096,VALUE(teraterm[[#This Row],[Column1]]),0)</f>
        <v>2026</v>
      </c>
      <c r="F46" s="1">
        <f>teraterm[[#This Row],[V(V)]]^2</f>
        <v>7888.2239175438881</v>
      </c>
    </row>
    <row r="47" spans="1:9" x14ac:dyDescent="0.25">
      <c r="A47" s="7">
        <v>2312</v>
      </c>
      <c r="B47" s="2">
        <v>-2547</v>
      </c>
      <c r="C47" s="1">
        <f>(teraterm[[#This Row],[Value(V)]]+$K$2)*$S$2</f>
        <v>-62.736328125</v>
      </c>
      <c r="D47" s="1">
        <f>(teraterm[[#This Row],[Column2]]-Q$4)*$S$3*1000</f>
        <v>-1036.376953125</v>
      </c>
      <c r="E47" s="1">
        <f>IF(ABS(VALUE(teraterm[[#This Row],[Column1]]))&lt;4096,VALUE(teraterm[[#This Row],[Column1]]),0)</f>
        <v>2312</v>
      </c>
      <c r="F47" s="1">
        <f>teraterm[[#This Row],[V(V)]]^2</f>
        <v>3935.846866607666</v>
      </c>
    </row>
    <row r="48" spans="1:9" x14ac:dyDescent="0.25">
      <c r="A48" s="7">
        <v>2566</v>
      </c>
      <c r="B48" s="2">
        <v>-3560</v>
      </c>
      <c r="C48" s="1">
        <f>(teraterm[[#This Row],[Value(V)]]+$K$2)*$S$2</f>
        <v>-39.574951171875</v>
      </c>
      <c r="D48" s="1">
        <f>(teraterm[[#This Row],[Column2]]-Q$4)*$S$3*1000</f>
        <v>-1448.5677083333333</v>
      </c>
      <c r="E48" s="1">
        <f>IF(ABS(VALUE(teraterm[[#This Row],[Column1]]))&lt;4096,VALUE(teraterm[[#This Row],[Column1]]),0)</f>
        <v>2566</v>
      </c>
      <c r="F48" s="1">
        <f>teraterm[[#This Row],[V(V)]]^2</f>
        <v>1566.1767602562904</v>
      </c>
    </row>
    <row r="49" spans="1:6" x14ac:dyDescent="0.25">
      <c r="A49" s="7">
        <v>2826</v>
      </c>
      <c r="B49" s="2">
        <v>-3295</v>
      </c>
      <c r="C49" s="1">
        <f>(teraterm[[#This Row],[Value(V)]]+$K$2)*$S$2</f>
        <v>-15.866455078125</v>
      </c>
      <c r="D49" s="1">
        <f>(teraterm[[#This Row],[Column2]]-Q$4)*$S$3*1000</f>
        <v>-1340.7389322916665</v>
      </c>
      <c r="E49" s="1">
        <f>IF(ABS(VALUE(teraterm[[#This Row],[Column1]]))&lt;4096,VALUE(teraterm[[#This Row],[Column1]]),0)</f>
        <v>2826</v>
      </c>
      <c r="F49" s="1">
        <f>teraterm[[#This Row],[V(V)]]^2</f>
        <v>251.7443967461586</v>
      </c>
    </row>
    <row r="50" spans="1:6" x14ac:dyDescent="0.25">
      <c r="A50" s="7">
        <v>3078</v>
      </c>
      <c r="B50" s="2">
        <v>-5327</v>
      </c>
      <c r="C50" s="1">
        <f>(teraterm[[#This Row],[Value(V)]]+$K$2)*$S$2</f>
        <v>7.112548828125</v>
      </c>
      <c r="D50" s="1">
        <f>(teraterm[[#This Row],[Column2]]-Q$4)*$S$3*1000</f>
        <v>-2167.561848958333</v>
      </c>
      <c r="E50" s="1">
        <f>IF(ABS(VALUE(teraterm[[#This Row],[Column1]]))&lt;4096,VALUE(teraterm[[#This Row],[Column1]]),0)</f>
        <v>3078</v>
      </c>
      <c r="F50" s="1">
        <f>teraterm[[#This Row],[V(V)]]^2</f>
        <v>50.588350832462311</v>
      </c>
    </row>
    <row r="51" spans="1:6" x14ac:dyDescent="0.25">
      <c r="A51" s="7">
        <v>3296</v>
      </c>
      <c r="B51" s="2">
        <v>-16277</v>
      </c>
      <c r="C51" s="1">
        <f>(teraterm[[#This Row],[Value(V)]]+$K$2)*$S$2</f>
        <v>26.9912109375</v>
      </c>
      <c r="D51" s="1">
        <f>(teraterm[[#This Row],[Column2]]-Q$4)*$S$3*1000</f>
        <v>-6623.128255208333</v>
      </c>
      <c r="E51" s="1">
        <f>IF(ABS(VALUE(teraterm[[#This Row],[Column1]]))&lt;4096,VALUE(teraterm[[#This Row],[Column1]]),0)</f>
        <v>3296</v>
      </c>
      <c r="F51" s="1">
        <f>teraterm[[#This Row],[V(V)]]^2</f>
        <v>728.52546787261963</v>
      </c>
    </row>
    <row r="52" spans="1:6" x14ac:dyDescent="0.25">
      <c r="A52" s="7">
        <v>3513</v>
      </c>
      <c r="B52" s="2">
        <v>-27695</v>
      </c>
      <c r="C52" s="1">
        <f>(teraterm[[#This Row],[Value(V)]]+$K$2)*$S$2</f>
        <v>46.7786865234375</v>
      </c>
      <c r="D52" s="1">
        <f>(teraterm[[#This Row],[Column2]]-Q$4)*$S$3*1000</f>
        <v>-11269.124348958332</v>
      </c>
      <c r="E52" s="1">
        <f>IF(ABS(VALUE(teraterm[[#This Row],[Column1]]))&lt;4096,VALUE(teraterm[[#This Row],[Column1]]),0)</f>
        <v>3513</v>
      </c>
      <c r="F52" s="1">
        <f>teraterm[[#This Row],[V(V)]]^2</f>
        <v>2188.2455128580332</v>
      </c>
    </row>
    <row r="53" spans="1:6" x14ac:dyDescent="0.25">
      <c r="A53" s="7">
        <v>3696</v>
      </c>
      <c r="B53" s="2">
        <v>17542</v>
      </c>
      <c r="C53" s="1">
        <f>(teraterm[[#This Row],[Value(V)]]+$K$2)*$S$2</f>
        <v>63.4658203125</v>
      </c>
      <c r="D53" s="1">
        <f>(teraterm[[#This Row],[Column2]]-Q$4)*$S$3*1000</f>
        <v>7137.8580729166661</v>
      </c>
      <c r="E53" s="1">
        <f>IF(ABS(VALUE(teraterm[[#This Row],[Column1]]))&lt;4096,VALUE(teraterm[[#This Row],[Column1]]),0)</f>
        <v>3696</v>
      </c>
      <c r="F53" s="1">
        <f>teraterm[[#This Row],[V(V)]]^2</f>
        <v>4027.9103479385376</v>
      </c>
    </row>
    <row r="54" spans="1:6" x14ac:dyDescent="0.25">
      <c r="A54" s="7">
        <v>3826</v>
      </c>
      <c r="B54" s="2">
        <v>-16449</v>
      </c>
      <c r="C54" s="1">
        <f>(teraterm[[#This Row],[Value(V)]]+$K$2)*$S$2</f>
        <v>75.320068359375</v>
      </c>
      <c r="D54" s="1">
        <f>(teraterm[[#This Row],[Column2]]-Q$4)*$S$3*1000</f>
        <v>-6693.1152343749991</v>
      </c>
      <c r="E54" s="1">
        <f>IF(ABS(VALUE(teraterm[[#This Row],[Column1]]))&lt;4096,VALUE(teraterm[[#This Row],[Column1]]),0)</f>
        <v>3826</v>
      </c>
      <c r="F54" s="1">
        <f>teraterm[[#This Row],[V(V)]]^2</f>
        <v>5673.112697660923</v>
      </c>
    </row>
    <row r="55" spans="1:6" x14ac:dyDescent="0.25">
      <c r="A55" s="7">
        <v>3954</v>
      </c>
      <c r="B55" s="2">
        <v>14463</v>
      </c>
      <c r="C55" s="1">
        <f>(teraterm[[#This Row],[Value(V)]]+$K$2)*$S$2</f>
        <v>86.991943359375</v>
      </c>
      <c r="D55" s="1">
        <f>(teraterm[[#This Row],[Column2]]-Q$4)*$S$3*1000</f>
        <v>5885.0097656249991</v>
      </c>
      <c r="E55" s="1">
        <f>IF(ABS(VALUE(teraterm[[#This Row],[Column1]]))&lt;4096,VALUE(teraterm[[#This Row],[Column1]]),0)</f>
        <v>3954</v>
      </c>
      <c r="F55" s="1">
        <f>teraterm[[#This Row],[V(V)]]^2</f>
        <v>7567.5982094407082</v>
      </c>
    </row>
    <row r="56" spans="1:6" x14ac:dyDescent="0.25">
      <c r="A56" s="7">
        <v>4014</v>
      </c>
      <c r="B56" s="2">
        <v>27914</v>
      </c>
      <c r="C56" s="1">
        <f>(teraterm[[#This Row],[Value(V)]]+$K$2)*$S$2</f>
        <v>92.463134765625</v>
      </c>
      <c r="D56" s="1">
        <f>(teraterm[[#This Row],[Column2]]-Q$4)*$S$3*1000</f>
        <v>11358.235677083332</v>
      </c>
      <c r="E56" s="1">
        <f>IF(ABS(VALUE(teraterm[[#This Row],[Column1]]))&lt;4096,VALUE(teraterm[[#This Row],[Column1]]),0)</f>
        <v>4014</v>
      </c>
      <c r="F56" s="1">
        <f>teraterm[[#This Row],[V(V)]]^2</f>
        <v>8549.4312906861305</v>
      </c>
    </row>
    <row r="57" spans="1:6" x14ac:dyDescent="0.25">
      <c r="A57" s="7">
        <v>4043</v>
      </c>
      <c r="B57" s="2">
        <v>-32129</v>
      </c>
      <c r="C57" s="1">
        <f>(teraterm[[#This Row],[Value(V)]]+$K$2)*$S$2</f>
        <v>95.1075439453125</v>
      </c>
      <c r="D57" s="1">
        <f>(teraterm[[#This Row],[Column2]]-Q$4)*$S$3*1000</f>
        <v>-13073.323567708332</v>
      </c>
      <c r="E57" s="1">
        <f>IF(ABS(VALUE(teraterm[[#This Row],[Column1]]))&lt;4096,VALUE(teraterm[[#This Row],[Column1]]),0)</f>
        <v>4043</v>
      </c>
      <c r="F57" s="1">
        <f>teraterm[[#This Row],[V(V)]]^2</f>
        <v>9045.4449153095484</v>
      </c>
    </row>
    <row r="58" spans="1:6" x14ac:dyDescent="0.25">
      <c r="A58" s="7">
        <v>4058</v>
      </c>
      <c r="B58" s="2">
        <v>-30227</v>
      </c>
      <c r="C58" s="1">
        <f>(teraterm[[#This Row],[Value(V)]]+$K$2)*$S$2</f>
        <v>96.475341796875</v>
      </c>
      <c r="D58" s="1">
        <f>(teraterm[[#This Row],[Column2]]-Q$4)*$S$3*1000</f>
        <v>-12299.397786458332</v>
      </c>
      <c r="E58" s="1">
        <f>IF(ABS(VALUE(teraterm[[#This Row],[Column1]]))&lt;4096,VALUE(teraterm[[#This Row],[Column1]]),0)</f>
        <v>4058</v>
      </c>
      <c r="F58" s="1">
        <f>teraterm[[#This Row],[V(V)]]^2</f>
        <v>9307.4915748238564</v>
      </c>
    </row>
    <row r="59" spans="1:6" x14ac:dyDescent="0.25">
      <c r="A59" s="7">
        <v>4059</v>
      </c>
      <c r="B59" s="2">
        <v>-31902</v>
      </c>
      <c r="C59" s="1">
        <f>(teraterm[[#This Row],[Value(V)]]+$K$2)*$S$2</f>
        <v>96.5665283203125</v>
      </c>
      <c r="D59" s="1">
        <f>(teraterm[[#This Row],[Column2]]-Q$4)*$S$3*1000</f>
        <v>-12980.957031249998</v>
      </c>
      <c r="E59" s="1">
        <f>IF(ABS(VALUE(teraterm[[#This Row],[Column1]]))&lt;4096,VALUE(teraterm[[#This Row],[Column1]]),0)</f>
        <v>4059</v>
      </c>
      <c r="F59" s="1">
        <f>teraterm[[#This Row],[V(V)]]^2</f>
        <v>9325.0943918377161</v>
      </c>
    </row>
    <row r="60" spans="1:6" x14ac:dyDescent="0.25">
      <c r="A60" s="7">
        <v>4025</v>
      </c>
      <c r="B60" s="2">
        <v>23040</v>
      </c>
      <c r="C60" s="1">
        <f>(teraterm[[#This Row],[Value(V)]]+$K$2)*$S$2</f>
        <v>93.4661865234375</v>
      </c>
      <c r="D60" s="1">
        <f>(teraterm[[#This Row],[Column2]]-Q$4)*$S$3*1000</f>
        <v>9375</v>
      </c>
      <c r="E60" s="1">
        <f>IF(ABS(VALUE(teraterm[[#This Row],[Column1]]))&lt;4096,VALUE(teraterm[[#This Row],[Column1]]),0)</f>
        <v>4025</v>
      </c>
      <c r="F60" s="1">
        <f>teraterm[[#This Row],[V(V)]]^2</f>
        <v>8735.9280232340097</v>
      </c>
    </row>
    <row r="61" spans="1:6" x14ac:dyDescent="0.25">
      <c r="A61" s="7">
        <v>3912</v>
      </c>
      <c r="B61" s="2">
        <v>-7657</v>
      </c>
      <c r="C61" s="1">
        <f>(teraterm[[#This Row],[Value(V)]]+$K$2)*$S$2</f>
        <v>83.162109375</v>
      </c>
      <c r="D61" s="1">
        <f>(teraterm[[#This Row],[Column2]]-Q$4)*$S$3*1000</f>
        <v>-3115.6412760416665</v>
      </c>
      <c r="E61" s="1">
        <f>IF(ABS(VALUE(teraterm[[#This Row],[Column1]]))&lt;4096,VALUE(teraterm[[#This Row],[Column1]]),0)</f>
        <v>3912</v>
      </c>
      <c r="F61" s="1">
        <f>teraterm[[#This Row],[V(V)]]^2</f>
        <v>6915.9364356994629</v>
      </c>
    </row>
    <row r="62" spans="1:6" x14ac:dyDescent="0.25">
      <c r="A62" s="7">
        <v>3751</v>
      </c>
      <c r="B62" s="2">
        <v>15061</v>
      </c>
      <c r="C62" s="1">
        <f>(teraterm[[#This Row],[Value(V)]]+$K$2)*$S$2</f>
        <v>68.4810791015625</v>
      </c>
      <c r="D62" s="1">
        <f>(teraterm[[#This Row],[Column2]]-Q$4)*$S$3*1000</f>
        <v>6128.3365885416661</v>
      </c>
      <c r="E62" s="1">
        <f>IF(ABS(VALUE(teraterm[[#This Row],[Column1]]))&lt;4096,VALUE(teraterm[[#This Row],[Column1]]),0)</f>
        <v>3751</v>
      </c>
      <c r="F62" s="1">
        <f>teraterm[[#This Row],[V(V)]]^2</f>
        <v>4689.6581949144602</v>
      </c>
    </row>
    <row r="63" spans="1:6" x14ac:dyDescent="0.25">
      <c r="A63" s="7">
        <v>3581</v>
      </c>
      <c r="B63" s="2">
        <v>-29884</v>
      </c>
      <c r="C63" s="1">
        <f>(teraterm[[#This Row],[Value(V)]]+$K$2)*$S$2</f>
        <v>52.9793701171875</v>
      </c>
      <c r="D63" s="1">
        <f>(teraterm[[#This Row],[Column2]]-Q$4)*$S$3*1000</f>
        <v>-12159.830729166666</v>
      </c>
      <c r="E63" s="1">
        <f>IF(ABS(VALUE(teraterm[[#This Row],[Column1]]))&lt;4096,VALUE(teraterm[[#This Row],[Column1]]),0)</f>
        <v>3581</v>
      </c>
      <c r="F63" s="1">
        <f>teraterm[[#This Row],[V(V)]]^2</f>
        <v>2806.8136580139399</v>
      </c>
    </row>
    <row r="64" spans="1:6" x14ac:dyDescent="0.25">
      <c r="A64" s="7">
        <v>3376</v>
      </c>
      <c r="B64" s="2">
        <v>-18043</v>
      </c>
      <c r="C64" s="1">
        <f>(teraterm[[#This Row],[Value(V)]]+$K$2)*$S$2</f>
        <v>34.2861328125</v>
      </c>
      <c r="D64" s="1">
        <f>(teraterm[[#This Row],[Column2]]-Q$4)*$S$3*1000</f>
        <v>-7341.7154947916661</v>
      </c>
      <c r="E64" s="1">
        <f>IF(ABS(VALUE(teraterm[[#This Row],[Column1]]))&lt;4096,VALUE(teraterm[[#This Row],[Column1]]),0)</f>
        <v>3376</v>
      </c>
      <c r="F64" s="1">
        <f>teraterm[[#This Row],[V(V)]]^2</f>
        <v>1175.5389032363892</v>
      </c>
    </row>
    <row r="65" spans="1:6" x14ac:dyDescent="0.25">
      <c r="A65" s="7">
        <v>3122</v>
      </c>
      <c r="B65" s="2">
        <v>-18487</v>
      </c>
      <c r="C65" s="1">
        <f>(teraterm[[#This Row],[Value(V)]]+$K$2)*$S$2</f>
        <v>11.124755859375</v>
      </c>
      <c r="D65" s="1">
        <f>(teraterm[[#This Row],[Column2]]-Q$4)*$S$3*1000</f>
        <v>-7522.3795572916661</v>
      </c>
      <c r="E65" s="1">
        <f>IF(ABS(VALUE(teraterm[[#This Row],[Column1]]))&lt;4096,VALUE(teraterm[[#This Row],[Column1]]),0)</f>
        <v>3122</v>
      </c>
      <c r="F65" s="1">
        <f>teraterm[[#This Row],[V(V)]]^2</f>
        <v>123.76019293069839</v>
      </c>
    </row>
    <row r="66" spans="1:6" x14ac:dyDescent="0.25">
      <c r="A66" s="7">
        <v>2886</v>
      </c>
      <c r="B66" s="2">
        <v>-14083</v>
      </c>
      <c r="C66" s="1">
        <f>(teraterm[[#This Row],[Value(V)]]+$K$2)*$S$2</f>
        <v>-10.395263671875</v>
      </c>
      <c r="D66" s="1">
        <f>(teraterm[[#This Row],[Column2]]-Q$4)*$S$3*1000</f>
        <v>-5730.3873697916661</v>
      </c>
      <c r="E66" s="1">
        <f>IF(ABS(VALUE(teraterm[[#This Row],[Column1]]))&lt;4096,VALUE(teraterm[[#This Row],[Column1]]),0)</f>
        <v>2886</v>
      </c>
      <c r="F66" s="1">
        <f>teraterm[[#This Row],[V(V)]]^2</f>
        <v>108.06150680780411</v>
      </c>
    </row>
    <row r="67" spans="1:6" x14ac:dyDescent="0.25">
      <c r="A67" s="7">
        <v>2616</v>
      </c>
      <c r="B67" s="2">
        <v>-18110</v>
      </c>
      <c r="C67" s="1">
        <f>(teraterm[[#This Row],[Value(V)]]+$K$2)*$S$2</f>
        <v>-35.015625</v>
      </c>
      <c r="D67" s="1">
        <f>(teraterm[[#This Row],[Column2]]-Q$4)*$S$3*1000</f>
        <v>-7368.977864583333</v>
      </c>
      <c r="E67" s="1">
        <f>IF(ABS(VALUE(teraterm[[#This Row],[Column1]]))&lt;4096,VALUE(teraterm[[#This Row],[Column1]]),0)</f>
        <v>2616</v>
      </c>
      <c r="F67" s="1">
        <f>teraterm[[#This Row],[V(V)]]^2</f>
        <v>1226.093994140625</v>
      </c>
    </row>
    <row r="68" spans="1:6" x14ac:dyDescent="0.25">
      <c r="A68" s="7">
        <v>2346</v>
      </c>
      <c r="B68" s="2">
        <v>-21866</v>
      </c>
      <c r="C68" s="1">
        <f>(teraterm[[#This Row],[Value(V)]]+$K$2)*$S$2</f>
        <v>-59.635986328125</v>
      </c>
      <c r="D68" s="1">
        <f>(teraterm[[#This Row],[Column2]]-Q$4)*$S$3*1000</f>
        <v>-8897.2981770833321</v>
      </c>
      <c r="E68" s="1">
        <f>IF(ABS(VALUE(teraterm[[#This Row],[Column1]]))&lt;4096,VALUE(teraterm[[#This Row],[Column1]]),0)</f>
        <v>2346</v>
      </c>
      <c r="F68" s="1">
        <f>teraterm[[#This Row],[V(V)]]^2</f>
        <v>3556.4508653283119</v>
      </c>
    </row>
    <row r="69" spans="1:6" x14ac:dyDescent="0.25">
      <c r="A69" s="7">
        <v>2058</v>
      </c>
      <c r="B69" s="2">
        <v>-29941</v>
      </c>
      <c r="C69" s="1">
        <f>(teraterm[[#This Row],[Value(V)]]+$K$2)*$S$2</f>
        <v>-85.897705078125</v>
      </c>
      <c r="D69" s="1">
        <f>(teraterm[[#This Row],[Column2]]-Q$4)*$S$3*1000</f>
        <v>-12183.024088541666</v>
      </c>
      <c r="E69" s="1">
        <f>IF(ABS(VALUE(teraterm[[#This Row],[Column1]]))&lt;4096,VALUE(teraterm[[#This Row],[Column1]]),0)</f>
        <v>2058</v>
      </c>
      <c r="F69" s="1">
        <f>teraterm[[#This Row],[V(V)]]^2</f>
        <v>7378.4157376885414</v>
      </c>
    </row>
    <row r="70" spans="1:6" x14ac:dyDescent="0.25">
      <c r="A70" s="7">
        <v>1785</v>
      </c>
      <c r="B70" s="2">
        <v>31632</v>
      </c>
      <c r="C70" s="1">
        <f>(teraterm[[#This Row],[Value(V)]]+$K$2)*$S$2</f>
        <v>-110.7916259765625</v>
      </c>
      <c r="D70" s="1">
        <f>(teraterm[[#This Row],[Column2]]-Q$4)*$S$3*1000</f>
        <v>12871.093749999998</v>
      </c>
      <c r="E70" s="1">
        <f>IF(ABS(VALUE(teraterm[[#This Row],[Column1]]))&lt;4096,VALUE(teraterm[[#This Row],[Column1]]),0)</f>
        <v>1785</v>
      </c>
      <c r="F70" s="1">
        <f>teraterm[[#This Row],[V(V)]]^2</f>
        <v>12274.784386530519</v>
      </c>
    </row>
    <row r="71" spans="1:6" x14ac:dyDescent="0.25">
      <c r="A71" s="7">
        <v>1523</v>
      </c>
      <c r="B71" s="2">
        <v>30746</v>
      </c>
      <c r="C71" s="1">
        <f>(teraterm[[#This Row],[Value(V)]]+$K$2)*$S$2</f>
        <v>-134.6824951171875</v>
      </c>
      <c r="D71" s="1">
        <f>(teraterm[[#This Row],[Column2]]-Q$4)*$S$3*1000</f>
        <v>12510.579427083332</v>
      </c>
      <c r="E71" s="1">
        <f>IF(ABS(VALUE(teraterm[[#This Row],[Column1]]))&lt;4096,VALUE(teraterm[[#This Row],[Column1]]),0)</f>
        <v>1523</v>
      </c>
      <c r="F71" s="1">
        <f>teraterm[[#This Row],[V(V)]]^2</f>
        <v>18139.374490991235</v>
      </c>
    </row>
    <row r="72" spans="1:6" x14ac:dyDescent="0.25">
      <c r="A72" s="7">
        <v>1253</v>
      </c>
      <c r="B72" s="2">
        <v>28079</v>
      </c>
      <c r="C72" s="1">
        <f>(teraterm[[#This Row],[Value(V)]]+$K$2)*$S$2</f>
        <v>-159.3028564453125</v>
      </c>
      <c r="D72" s="1">
        <f>(teraterm[[#This Row],[Column2]]-Q$4)*$S$3*1000</f>
        <v>11425.374348958332</v>
      </c>
      <c r="E72" s="1">
        <f>IF(ABS(VALUE(teraterm[[#This Row],[Column1]]))&lt;4096,VALUE(teraterm[[#This Row],[Column1]]),0)</f>
        <v>1253</v>
      </c>
      <c r="F72" s="1">
        <f>teraterm[[#This Row],[V(V)]]^2</f>
        <v>25377.400071635842</v>
      </c>
    </row>
    <row r="73" spans="1:6" x14ac:dyDescent="0.25">
      <c r="A73" s="7">
        <v>1013</v>
      </c>
      <c r="B73" s="2">
        <v>-32207</v>
      </c>
      <c r="C73" s="1">
        <f>(teraterm[[#This Row],[Value(V)]]+$K$2)*$S$2</f>
        <v>-181.1876220703125</v>
      </c>
      <c r="D73" s="1">
        <f>(teraterm[[#This Row],[Column2]]-Q$4)*$S$3*1000</f>
        <v>-13105.061848958332</v>
      </c>
      <c r="E73" s="1">
        <f>IF(ABS(VALUE(teraterm[[#This Row],[Column1]]))&lt;4096,VALUE(teraterm[[#This Row],[Column1]]),0)</f>
        <v>1013</v>
      </c>
      <c r="F73" s="1">
        <f>teraterm[[#This Row],[V(V)]]^2</f>
        <v>32828.954391494393</v>
      </c>
    </row>
    <row r="74" spans="1:6" x14ac:dyDescent="0.25">
      <c r="A74" s="7">
        <v>786</v>
      </c>
      <c r="B74" s="2">
        <v>-23407</v>
      </c>
      <c r="C74" s="1">
        <f>(teraterm[[#This Row],[Value(V)]]+$K$2)*$S$2</f>
        <v>-201.886962890625</v>
      </c>
      <c r="D74" s="1">
        <f>(teraterm[[#This Row],[Column2]]-Q$4)*$S$3*1000</f>
        <v>-9524.3326822916661</v>
      </c>
      <c r="E74" s="1">
        <f>IF(ABS(VALUE(teraterm[[#This Row],[Column1]]))&lt;4096,VALUE(teraterm[[#This Row],[Column1]]),0)</f>
        <v>786</v>
      </c>
      <c r="F74" s="1">
        <f>teraterm[[#This Row],[V(V)]]^2</f>
        <v>40758.345785200596</v>
      </c>
    </row>
    <row r="75" spans="1:6" x14ac:dyDescent="0.25">
      <c r="A75" s="7">
        <v>560</v>
      </c>
      <c r="B75" s="2">
        <v>-14130</v>
      </c>
      <c r="C75" s="1">
        <f>(teraterm[[#This Row],[Value(V)]]+$K$2)*$S$2</f>
        <v>-222.4951171875</v>
      </c>
      <c r="D75" s="1">
        <f>(teraterm[[#This Row],[Column2]]-Q$4)*$S$3*1000</f>
        <v>-5749.5117187499991</v>
      </c>
      <c r="E75" s="1">
        <f>IF(ABS(VALUE(teraterm[[#This Row],[Column1]]))&lt;4096,VALUE(teraterm[[#This Row],[Column1]]),0)</f>
        <v>560</v>
      </c>
      <c r="F75" s="1">
        <f>teraterm[[#This Row],[V(V)]]^2</f>
        <v>49504.077172279358</v>
      </c>
    </row>
    <row r="76" spans="1:6" x14ac:dyDescent="0.25">
      <c r="A76" s="7">
        <v>418</v>
      </c>
      <c r="B76" s="2">
        <v>16787</v>
      </c>
      <c r="C76" s="1">
        <f>(teraterm[[#This Row],[Value(V)]]+$K$2)*$S$2</f>
        <v>-235.443603515625</v>
      </c>
      <c r="D76" s="1">
        <f>(teraterm[[#This Row],[Column2]]-Q$4)*$S$3*1000</f>
        <v>6830.647786458333</v>
      </c>
      <c r="E76" s="1">
        <f>IF(ABS(VALUE(teraterm[[#This Row],[Column1]]))&lt;4096,VALUE(teraterm[[#This Row],[Column1]]),0)</f>
        <v>418</v>
      </c>
      <c r="F76" s="1">
        <f>teraterm[[#This Row],[V(V)]]^2</f>
        <v>55433.690436422825</v>
      </c>
    </row>
    <row r="77" spans="1:6" x14ac:dyDescent="0.25">
      <c r="A77" s="7">
        <v>272</v>
      </c>
      <c r="B77" s="2">
        <v>-18717</v>
      </c>
      <c r="C77" s="1">
        <f>(teraterm[[#This Row],[Value(V)]]+$K$2)*$S$2</f>
        <v>-248.7568359375</v>
      </c>
      <c r="D77" s="1">
        <f>(teraterm[[#This Row],[Column2]]-Q$4)*$S$3*1000</f>
        <v>-7615.9667968749991</v>
      </c>
      <c r="E77" s="1">
        <f>IF(ABS(VALUE(teraterm[[#This Row],[Column1]]))&lt;4096,VALUE(teraterm[[#This Row],[Column1]]),0)</f>
        <v>272</v>
      </c>
      <c r="F77" s="1">
        <f>teraterm[[#This Row],[V(V)]]^2</f>
        <v>61879.963425636292</v>
      </c>
    </row>
    <row r="78" spans="1:6" x14ac:dyDescent="0.25">
      <c r="A78" s="7">
        <v>184</v>
      </c>
      <c r="B78" s="2">
        <v>26244</v>
      </c>
      <c r="C78" s="1">
        <f>(teraterm[[#This Row],[Value(V)]]+$K$2)*$S$2</f>
        <v>-256.78125</v>
      </c>
      <c r="D78" s="1">
        <f>(teraterm[[#This Row],[Column2]]-Q$4)*$S$3*1000</f>
        <v>10678.710937499998</v>
      </c>
      <c r="E78" s="1">
        <f>IF(ABS(VALUE(teraterm[[#This Row],[Column1]]))&lt;4096,VALUE(teraterm[[#This Row],[Column1]]),0)</f>
        <v>184</v>
      </c>
      <c r="F78" s="1">
        <f>teraterm[[#This Row],[V(V)]]^2</f>
        <v>65936.6103515625</v>
      </c>
    </row>
    <row r="79" spans="1:6" x14ac:dyDescent="0.25">
      <c r="A79" s="7">
        <v>149</v>
      </c>
      <c r="B79" s="2">
        <v>19264</v>
      </c>
      <c r="C79" s="1">
        <f>(teraterm[[#This Row],[Value(V)]]+$K$2)*$S$2</f>
        <v>-259.9727783203125</v>
      </c>
      <c r="D79" s="1">
        <f>(teraterm[[#This Row],[Column2]]-Q$4)*$S$3*1000</f>
        <v>7838.5416666666661</v>
      </c>
      <c r="E79" s="1">
        <f>IF(ABS(VALUE(teraterm[[#This Row],[Column1]]))&lt;4096,VALUE(teraterm[[#This Row],[Column1]]),0)</f>
        <v>149</v>
      </c>
      <c r="F79" s="1">
        <f>teraterm[[#This Row],[V(V)]]^2</f>
        <v>67585.845467582345</v>
      </c>
    </row>
    <row r="80" spans="1:6" x14ac:dyDescent="0.25">
      <c r="A80" s="7">
        <v>135</v>
      </c>
      <c r="B80" s="2">
        <v>17666</v>
      </c>
      <c r="C80" s="1">
        <f>(teraterm[[#This Row],[Value(V)]]+$K$2)*$S$2</f>
        <v>-261.2493896484375</v>
      </c>
      <c r="D80" s="1">
        <f>(teraterm[[#This Row],[Column2]]-Q$4)*$S$3*1000</f>
        <v>7188.313802083333</v>
      </c>
      <c r="E80" s="1">
        <f>IF(ABS(VALUE(teraterm[[#This Row],[Column1]]))&lt;4096,VALUE(teraterm[[#This Row],[Column1]]),0)</f>
        <v>135</v>
      </c>
      <c r="F80" s="1">
        <f>teraterm[[#This Row],[V(V)]]^2</f>
        <v>68251.243591681123</v>
      </c>
    </row>
    <row r="81" spans="1:6" x14ac:dyDescent="0.25">
      <c r="A81" s="7">
        <v>135</v>
      </c>
      <c r="B81" s="2">
        <v>19644</v>
      </c>
      <c r="C81" s="1">
        <f>(teraterm[[#This Row],[Value(V)]]+$K$2)*$S$2</f>
        <v>-261.2493896484375</v>
      </c>
      <c r="D81" s="1">
        <f>(teraterm[[#This Row],[Column2]]-Q$4)*$S$3*1000</f>
        <v>7993.1640624999991</v>
      </c>
      <c r="E81" s="1">
        <f>IF(ABS(VALUE(teraterm[[#This Row],[Column1]]))&lt;4096,VALUE(teraterm[[#This Row],[Column1]]),0)</f>
        <v>135</v>
      </c>
      <c r="F81" s="1">
        <f>teraterm[[#This Row],[V(V)]]^2</f>
        <v>68251.243591681123</v>
      </c>
    </row>
    <row r="82" spans="1:6" x14ac:dyDescent="0.25">
      <c r="A82" s="7">
        <v>157</v>
      </c>
      <c r="B82" s="2">
        <v>27225</v>
      </c>
      <c r="C82" s="1">
        <f>(teraterm[[#This Row],[Value(V)]]+$K$2)*$S$2</f>
        <v>-259.2432861328125</v>
      </c>
      <c r="D82" s="1">
        <f>(teraterm[[#This Row],[Column2]]-Q$4)*$S$3*1000</f>
        <v>11077.880859374998</v>
      </c>
      <c r="E82" s="1">
        <f>IF(ABS(VALUE(teraterm[[#This Row],[Column1]]))&lt;4096,VALUE(teraterm[[#This Row],[Column1]]),0)</f>
        <v>157</v>
      </c>
      <c r="F82" s="1">
        <f>teraterm[[#This Row],[V(V)]]^2</f>
        <v>67207.081404939294</v>
      </c>
    </row>
    <row r="83" spans="1:6" x14ac:dyDescent="0.25">
      <c r="A83" s="7">
        <v>249</v>
      </c>
      <c r="B83" s="2">
        <v>-12910</v>
      </c>
      <c r="C83" s="1">
        <f>(teraterm[[#This Row],[Value(V)]]+$K$2)*$S$2</f>
        <v>-250.8541259765625</v>
      </c>
      <c r="D83" s="1">
        <f>(teraterm[[#This Row],[Column2]]-Q$4)*$S$3*1000</f>
        <v>-5253.0924479166661</v>
      </c>
      <c r="E83" s="1">
        <f>IF(ABS(VALUE(teraterm[[#This Row],[Column1]]))&lt;4096,VALUE(teraterm[[#This Row],[Column1]]),0)</f>
        <v>249</v>
      </c>
      <c r="F83" s="1">
        <f>teraterm[[#This Row],[V(V)]]^2</f>
        <v>62927.792519465089</v>
      </c>
    </row>
    <row r="84" spans="1:6" x14ac:dyDescent="0.25">
      <c r="A84" s="7">
        <v>426</v>
      </c>
      <c r="B84" s="2">
        <v>-31469</v>
      </c>
      <c r="C84" s="1">
        <f>(teraterm[[#This Row],[Value(V)]]+$K$2)*$S$2</f>
        <v>-234.714111328125</v>
      </c>
      <c r="D84" s="1">
        <f>(teraterm[[#This Row],[Column2]]-Q$4)*$S$3*1000</f>
        <v>-12804.768880208332</v>
      </c>
      <c r="E84" s="1">
        <f>IF(ABS(VALUE(teraterm[[#This Row],[Column1]]))&lt;4096,VALUE(teraterm[[#This Row],[Column1]]),0)</f>
        <v>426</v>
      </c>
      <c r="F84" s="1">
        <f>teraterm[[#This Row],[V(V)]]^2</f>
        <v>55090.714056551456</v>
      </c>
    </row>
    <row r="85" spans="1:6" x14ac:dyDescent="0.25">
      <c r="A85" s="7">
        <v>600</v>
      </c>
      <c r="B85" s="2">
        <v>14559</v>
      </c>
      <c r="C85" s="1">
        <f>(teraterm[[#This Row],[Value(V)]]+$K$2)*$S$2</f>
        <v>-218.84765625</v>
      </c>
      <c r="D85" s="1">
        <f>(teraterm[[#This Row],[Column2]]-Q$4)*$S$3*1000</f>
        <v>5924.0722656249991</v>
      </c>
      <c r="E85" s="1">
        <f>IF(ABS(VALUE(teraterm[[#This Row],[Column1]]))&lt;4096,VALUE(teraterm[[#This Row],[Column1]]),0)</f>
        <v>600</v>
      </c>
      <c r="F85" s="1">
        <f>teraterm[[#This Row],[V(V)]]^2</f>
        <v>47894.296646118164</v>
      </c>
    </row>
    <row r="86" spans="1:6" x14ac:dyDescent="0.25">
      <c r="A86" s="7">
        <v>794</v>
      </c>
      <c r="B86" s="2">
        <v>-28</v>
      </c>
      <c r="C86" s="1">
        <f>(teraterm[[#This Row],[Value(V)]]+$K$2)*$S$2</f>
        <v>-201.157470703125</v>
      </c>
      <c r="D86" s="1">
        <f>(teraterm[[#This Row],[Column2]]-Q$4)*$S$3*1000</f>
        <v>-11.393229166666666</v>
      </c>
      <c r="E86" s="1">
        <f>IF(ABS(VALUE(teraterm[[#This Row],[Column1]]))&lt;4096,VALUE(teraterm[[#This Row],[Column1]]),0)</f>
        <v>794</v>
      </c>
      <c r="F86" s="1">
        <f>teraterm[[#This Row],[V(V)]]^2</f>
        <v>40464.328019678593</v>
      </c>
    </row>
    <row r="87" spans="1:6" x14ac:dyDescent="0.25">
      <c r="A87" s="7">
        <v>1065</v>
      </c>
      <c r="B87" s="2">
        <v>4821</v>
      </c>
      <c r="C87" s="1">
        <f>(teraterm[[#This Row],[Value(V)]]+$K$2)*$S$2</f>
        <v>-176.4459228515625</v>
      </c>
      <c r="D87" s="1">
        <f>(teraterm[[#This Row],[Column2]]-Q$4)*$S$3*1000</f>
        <v>1961.6699218749998</v>
      </c>
      <c r="E87" s="1">
        <f>IF(ABS(VALUE(teraterm[[#This Row],[Column1]]))&lt;4096,VALUE(teraterm[[#This Row],[Column1]]),0)</f>
        <v>1065</v>
      </c>
      <c r="F87" s="1">
        <f>teraterm[[#This Row],[V(V)]]^2</f>
        <v>31133.163690939546</v>
      </c>
    </row>
    <row r="88" spans="1:6" x14ac:dyDescent="0.25">
      <c r="A88" s="7">
        <v>1310</v>
      </c>
      <c r="B88" s="2">
        <v>2765</v>
      </c>
      <c r="C88" s="1">
        <f>(teraterm[[#This Row],[Value(V)]]+$K$2)*$S$2</f>
        <v>-154.105224609375</v>
      </c>
      <c r="D88" s="1">
        <f>(teraterm[[#This Row],[Column2]]-Q$4)*$S$3*1000</f>
        <v>1125.0813802083333</v>
      </c>
      <c r="E88" s="1">
        <f>IF(ABS(VALUE(teraterm[[#This Row],[Column1]]))&lt;4096,VALUE(teraterm[[#This Row],[Column1]]),0)</f>
        <v>1310</v>
      </c>
      <c r="F88" s="1">
        <f>teraterm[[#This Row],[V(V)]]^2</f>
        <v>23748.420251905918</v>
      </c>
    </row>
    <row r="89" spans="1:6" x14ac:dyDescent="0.25">
      <c r="A89" s="7">
        <v>1568</v>
      </c>
      <c r="B89" s="2">
        <v>3776</v>
      </c>
      <c r="C89" s="1">
        <f>(teraterm[[#This Row],[Value(V)]]+$K$2)*$S$2</f>
        <v>-130.5791015625</v>
      </c>
      <c r="D89" s="1">
        <f>(teraterm[[#This Row],[Column2]]-Q$4)*$S$3*1000</f>
        <v>1536.4583333333333</v>
      </c>
      <c r="E89" s="1">
        <f>IF(ABS(VALUE(teraterm[[#This Row],[Column1]]))&lt;4096,VALUE(teraterm[[#This Row],[Column1]]),0)</f>
        <v>1568</v>
      </c>
      <c r="F89" s="1">
        <f>teraterm[[#This Row],[V(V)]]^2</f>
        <v>17050.90176486969</v>
      </c>
    </row>
    <row r="90" spans="1:6" x14ac:dyDescent="0.25">
      <c r="A90" s="7">
        <v>4064</v>
      </c>
      <c r="B90" s="2">
        <v>-29560</v>
      </c>
      <c r="C90" s="1">
        <f>(teraterm[[#This Row],[Value(V)]]+$K$2)*$S$2</f>
        <v>97.0224609375</v>
      </c>
      <c r="D90" s="1">
        <f>(teraterm[[#This Row],[Column2]]-Q$4)*$S$3*1000</f>
        <v>-12027.994791666666</v>
      </c>
      <c r="E90" s="1">
        <f>IF(ABS(VALUE(teraterm[[#This Row],[Column1]]))&lt;4096,VALUE(teraterm[[#This Row],[Column1]]),0)</f>
        <v>4064</v>
      </c>
      <c r="F90" s="1">
        <f>teraterm[[#This Row],[V(V)]]^2</f>
        <v>9413.3579263687134</v>
      </c>
    </row>
    <row r="91" spans="1:6" x14ac:dyDescent="0.25">
      <c r="A91" s="7">
        <v>4058</v>
      </c>
      <c r="B91" s="2">
        <v>32513</v>
      </c>
      <c r="C91" s="1">
        <f>(teraterm[[#This Row],[Value(V)]]+$K$2)*$S$2</f>
        <v>96.475341796875</v>
      </c>
      <c r="D91" s="1">
        <f>(teraterm[[#This Row],[Column2]]-Q$4)*$S$3*1000</f>
        <v>13229.573567708332</v>
      </c>
      <c r="E91" s="1">
        <f>IF(ABS(VALUE(teraterm[[#This Row],[Column1]]))&lt;4096,VALUE(teraterm[[#This Row],[Column1]]),0)</f>
        <v>4058</v>
      </c>
      <c r="F91" s="1">
        <f>teraterm[[#This Row],[V(V)]]^2</f>
        <v>9307.4915748238564</v>
      </c>
    </row>
    <row r="92" spans="1:6" x14ac:dyDescent="0.25">
      <c r="A92" s="7">
        <v>4008</v>
      </c>
      <c r="B92" s="2">
        <v>17843</v>
      </c>
      <c r="C92" s="1">
        <f>(teraterm[[#This Row],[Value(V)]]+$K$2)*$S$2</f>
        <v>91.916015625</v>
      </c>
      <c r="D92" s="1">
        <f>(teraterm[[#This Row],[Column2]]-Q$4)*$S$3*1000</f>
        <v>7260.335286458333</v>
      </c>
      <c r="E92" s="1">
        <f>IF(ABS(VALUE(teraterm[[#This Row],[Column1]]))&lt;4096,VALUE(teraterm[[#This Row],[Column1]]),0)</f>
        <v>4008</v>
      </c>
      <c r="F92" s="1">
        <f>teraterm[[#This Row],[V(V)]]^2</f>
        <v>8448.5539283752441</v>
      </c>
    </row>
    <row r="93" spans="1:6" x14ac:dyDescent="0.25">
      <c r="A93" s="7">
        <v>3875</v>
      </c>
      <c r="B93" s="2">
        <v>-17934</v>
      </c>
      <c r="C93" s="1">
        <f>(teraterm[[#This Row],[Value(V)]]+$K$2)*$S$2</f>
        <v>79.7882080078125</v>
      </c>
      <c r="D93" s="1">
        <f>(teraterm[[#This Row],[Column2]]-Q$4)*$S$3*1000</f>
        <v>-7297.3632812499991</v>
      </c>
      <c r="E93" s="1">
        <f>IF(ABS(VALUE(teraterm[[#This Row],[Column1]]))&lt;4096,VALUE(teraterm[[#This Row],[Column1]]),0)</f>
        <v>3875</v>
      </c>
      <c r="F93" s="1">
        <f>teraterm[[#This Row],[V(V)]]^2</f>
        <v>6366.1581370979548</v>
      </c>
    </row>
    <row r="94" spans="1:6" x14ac:dyDescent="0.25">
      <c r="A94" s="7">
        <v>3718</v>
      </c>
      <c r="B94" s="2">
        <v>5845</v>
      </c>
      <c r="C94" s="1">
        <f>(teraterm[[#This Row],[Value(V)]]+$K$2)*$S$2</f>
        <v>65.471923828125</v>
      </c>
      <c r="D94" s="1">
        <f>(teraterm[[#This Row],[Column2]]-Q$4)*$S$3*1000</f>
        <v>2378.3365885416665</v>
      </c>
      <c r="E94" s="1">
        <f>IF(ABS(VALUE(teraterm[[#This Row],[Column1]]))&lt;4096,VALUE(teraterm[[#This Row],[Column1]]),0)</f>
        <v>3718</v>
      </c>
      <c r="F94" s="1">
        <f>teraterm[[#This Row],[V(V)]]^2</f>
        <v>4286.5728097558022</v>
      </c>
    </row>
    <row r="95" spans="1:6" x14ac:dyDescent="0.25">
      <c r="A95" s="7">
        <v>3537</v>
      </c>
      <c r="B95" s="2">
        <v>23667</v>
      </c>
      <c r="C95" s="1">
        <f>(teraterm[[#This Row],[Value(V)]]+$K$2)*$S$2</f>
        <v>48.9671630859375</v>
      </c>
      <c r="D95" s="1">
        <f>(teraterm[[#This Row],[Column2]]-Q$4)*$S$3*1000</f>
        <v>9630.126953125</v>
      </c>
      <c r="E95" s="1">
        <f>IF(ABS(VALUE(teraterm[[#This Row],[Column1]]))&lt;4096,VALUE(teraterm[[#This Row],[Column1]]),0)</f>
        <v>3537</v>
      </c>
      <c r="F95" s="1">
        <f>teraterm[[#This Row],[V(V)]]^2</f>
        <v>2397.7830606848001</v>
      </c>
    </row>
    <row r="96" spans="1:6" x14ac:dyDescent="0.25">
      <c r="A96" s="7">
        <v>3318</v>
      </c>
      <c r="B96" s="2">
        <v>31985</v>
      </c>
      <c r="C96" s="1">
        <f>(teraterm[[#This Row],[Value(V)]]+$K$2)*$S$2</f>
        <v>28.997314453125</v>
      </c>
      <c r="D96" s="1">
        <f>(teraterm[[#This Row],[Column2]]-Q$4)*$S$3*1000</f>
        <v>13014.729817708332</v>
      </c>
      <c r="E96" s="1">
        <f>IF(ABS(VALUE(teraterm[[#This Row],[Column1]]))&lt;4096,VALUE(teraterm[[#This Row],[Column1]]),0)</f>
        <v>3318</v>
      </c>
      <c r="F96" s="1">
        <f>teraterm[[#This Row],[V(V)]]^2</f>
        <v>840.84424549341202</v>
      </c>
    </row>
    <row r="97" spans="1:6" x14ac:dyDescent="0.25">
      <c r="A97" s="7">
        <v>3071</v>
      </c>
      <c r="B97" s="2">
        <v>-32149</v>
      </c>
      <c r="C97" s="1">
        <f>(teraterm[[#This Row],[Value(V)]]+$K$2)*$S$2</f>
        <v>6.4742431640625</v>
      </c>
      <c r="D97" s="1">
        <f>(teraterm[[#This Row],[Column2]]-Q$4)*$S$3*1000</f>
        <v>-13081.461588541666</v>
      </c>
      <c r="E97" s="1">
        <f>IF(ABS(VALUE(teraterm[[#This Row],[Column1]]))&lt;4096,VALUE(teraterm[[#This Row],[Column1]]),0)</f>
        <v>3071</v>
      </c>
      <c r="F97" s="1">
        <f>teraterm[[#This Row],[V(V)]]^2</f>
        <v>41.915824547410011</v>
      </c>
    </row>
    <row r="98" spans="1:6" x14ac:dyDescent="0.25">
      <c r="A98" s="7">
        <v>2831</v>
      </c>
      <c r="B98" s="2">
        <v>-28712</v>
      </c>
      <c r="C98" s="1">
        <f>(teraterm[[#This Row],[Value(V)]]+$K$2)*$S$2</f>
        <v>-15.4105224609375</v>
      </c>
      <c r="D98" s="1">
        <f>(teraterm[[#This Row],[Column2]]-Q$4)*$S$3*1000</f>
        <v>-11682.942708333332</v>
      </c>
      <c r="E98" s="1">
        <f>IF(ABS(VALUE(teraterm[[#This Row],[Column1]]))&lt;4096,VALUE(teraterm[[#This Row],[Column1]]),0)</f>
        <v>2831</v>
      </c>
      <c r="F98" s="1">
        <f>teraterm[[#This Row],[V(V)]]^2</f>
        <v>237.48420251905918</v>
      </c>
    </row>
    <row r="99" spans="1:6" x14ac:dyDescent="0.25">
      <c r="A99" s="7">
        <v>2553</v>
      </c>
      <c r="B99" s="2">
        <v>30814</v>
      </c>
      <c r="C99" s="1">
        <f>(teraterm[[#This Row],[Value(V)]]+$K$2)*$S$2</f>
        <v>-40.7603759765625</v>
      </c>
      <c r="D99" s="1">
        <f>(teraterm[[#This Row],[Column2]]-Q$4)*$S$3*1000</f>
        <v>12538.248697916666</v>
      </c>
      <c r="E99" s="1">
        <f>IF(ABS(VALUE(teraterm[[#This Row],[Column1]]))&lt;4096,VALUE(teraterm[[#This Row],[Column1]]),0)</f>
        <v>2553</v>
      </c>
      <c r="F99" s="1">
        <f>teraterm[[#This Row],[V(V)]]^2</f>
        <v>1661.4082497507334</v>
      </c>
    </row>
    <row r="100" spans="1:6" x14ac:dyDescent="0.25">
      <c r="A100" s="7">
        <v>2282</v>
      </c>
      <c r="B100" s="2">
        <v>26868</v>
      </c>
      <c r="C100" s="1">
        <f>(teraterm[[#This Row],[Value(V)]]+$K$2)*$S$2</f>
        <v>-65.471923828125</v>
      </c>
      <c r="D100" s="1">
        <f>(teraterm[[#This Row],[Column2]]-Q$4)*$S$3*1000</f>
        <v>10932.617187499998</v>
      </c>
      <c r="E100" s="1">
        <f>IF(ABS(VALUE(teraterm[[#This Row],[Column1]]))&lt;4096,VALUE(teraterm[[#This Row],[Column1]]),0)</f>
        <v>2282</v>
      </c>
      <c r="F100" s="1">
        <f>teraterm[[#This Row],[V(V)]]^2</f>
        <v>4286.5728097558022</v>
      </c>
    </row>
    <row r="101" spans="1:6" x14ac:dyDescent="0.25">
      <c r="A101" s="7">
        <v>1993</v>
      </c>
      <c r="B101" s="2">
        <v>18604</v>
      </c>
      <c r="C101" s="1">
        <f>(teraterm[[#This Row],[Value(V)]]+$K$2)*$S$2</f>
        <v>-91.8248291015625</v>
      </c>
      <c r="D101" s="1">
        <f>(teraterm[[#This Row],[Column2]]-Q$4)*$S$3*1000</f>
        <v>7569.9869791666661</v>
      </c>
      <c r="E101" s="1">
        <f>IF(ABS(VALUE(teraterm[[#This Row],[Column1]]))&lt;4096,VALUE(teraterm[[#This Row],[Column1]]),0)</f>
        <v>1993</v>
      </c>
      <c r="F101" s="1">
        <f>teraterm[[#This Row],[V(V)]]^2</f>
        <v>8431.7992395311594</v>
      </c>
    </row>
    <row r="102" spans="1:6" x14ac:dyDescent="0.25">
      <c r="A102" s="7">
        <v>1728</v>
      </c>
      <c r="B102" s="2">
        <v>16748</v>
      </c>
      <c r="C102" s="1">
        <f>(teraterm[[#This Row],[Value(V)]]+$K$2)*$S$2</f>
        <v>-115.9892578125</v>
      </c>
      <c r="D102" s="1">
        <f>(teraterm[[#This Row],[Column2]]-Q$4)*$S$3*1000</f>
        <v>6814.778645833333</v>
      </c>
      <c r="E102" s="1">
        <f>IF(ABS(VALUE(teraterm[[#This Row],[Column1]]))&lt;4096,VALUE(teraterm[[#This Row],[Column1]]),0)</f>
        <v>1728</v>
      </c>
      <c r="F102" s="1">
        <f>teraterm[[#This Row],[V(V)]]^2</f>
        <v>13453.507927894592</v>
      </c>
    </row>
    <row r="103" spans="1:6" x14ac:dyDescent="0.25">
      <c r="A103" s="7">
        <v>1457</v>
      </c>
      <c r="B103" s="2">
        <v>13625</v>
      </c>
      <c r="C103" s="1">
        <f>(teraterm[[#This Row],[Value(V)]]+$K$2)*$S$2</f>
        <v>-140.7008056640625</v>
      </c>
      <c r="D103" s="1">
        <f>(teraterm[[#This Row],[Column2]]-Q$4)*$S$3*1000</f>
        <v>5544.026692708333</v>
      </c>
      <c r="E103" s="1">
        <f>IF(ABS(VALUE(teraterm[[#This Row],[Column1]]))&lt;4096,VALUE(teraterm[[#This Row],[Column1]]),0)</f>
        <v>1457</v>
      </c>
      <c r="F103" s="1">
        <f>teraterm[[#This Row],[V(V)]]^2</f>
        <v>19796.716714516282</v>
      </c>
    </row>
    <row r="104" spans="1:6" x14ac:dyDescent="0.25">
      <c r="A104" s="7">
        <v>1195</v>
      </c>
      <c r="B104" s="2">
        <v>13065</v>
      </c>
      <c r="C104" s="1">
        <f>(teraterm[[#This Row],[Value(V)]]+$K$2)*$S$2</f>
        <v>-164.5916748046875</v>
      </c>
      <c r="D104" s="1">
        <f>(teraterm[[#This Row],[Column2]]-Q$4)*$S$3*1000</f>
        <v>5316.1621093749991</v>
      </c>
      <c r="E104" s="1">
        <f>IF(ABS(VALUE(teraterm[[#This Row],[Column1]]))&lt;4096,VALUE(teraterm[[#This Row],[Column1]]),0)</f>
        <v>1195</v>
      </c>
      <c r="F104" s="1">
        <f>teraterm[[#This Row],[V(V)]]^2</f>
        <v>27090.419415012002</v>
      </c>
    </row>
    <row r="105" spans="1:6" x14ac:dyDescent="0.25">
      <c r="A105" s="7">
        <v>963</v>
      </c>
      <c r="B105" s="2">
        <v>20413</v>
      </c>
      <c r="C105" s="1">
        <f>(teraterm[[#This Row],[Value(V)]]+$K$2)*$S$2</f>
        <v>-185.7469482421875</v>
      </c>
      <c r="D105" s="1">
        <f>(teraterm[[#This Row],[Column2]]-Q$4)*$S$3*1000</f>
        <v>8306.0709635416661</v>
      </c>
      <c r="E105" s="1">
        <f>IF(ABS(VALUE(teraterm[[#This Row],[Column1]]))&lt;4096,VALUE(teraterm[[#This Row],[Column1]]),0)</f>
        <v>963</v>
      </c>
      <c r="F105" s="1">
        <f>teraterm[[#This Row],[V(V)]]^2</f>
        <v>34501.928781285882</v>
      </c>
    </row>
    <row r="106" spans="1:6" x14ac:dyDescent="0.25">
      <c r="A106" s="7">
        <v>733</v>
      </c>
      <c r="B106" s="2">
        <v>28499</v>
      </c>
      <c r="C106" s="1">
        <f>(teraterm[[#This Row],[Value(V)]]+$K$2)*$S$2</f>
        <v>-206.7198486328125</v>
      </c>
      <c r="D106" s="1">
        <f>(teraterm[[#This Row],[Column2]]-Q$4)*$S$3*1000</f>
        <v>11596.272786458332</v>
      </c>
      <c r="E106" s="1">
        <f>IF(ABS(VALUE(teraterm[[#This Row],[Column1]]))&lt;4096,VALUE(teraterm[[#This Row],[Column1]]),0)</f>
        <v>733</v>
      </c>
      <c r="F106" s="1">
        <f>teraterm[[#This Row],[V(V)]]^2</f>
        <v>42733.095818772912</v>
      </c>
    </row>
    <row r="107" spans="1:6" x14ac:dyDescent="0.25">
      <c r="A107" s="7">
        <v>529</v>
      </c>
      <c r="B107" s="2">
        <v>-22097</v>
      </c>
      <c r="C107" s="1">
        <f>(teraterm[[#This Row],[Value(V)]]+$K$2)*$S$2</f>
        <v>-225.3218994140625</v>
      </c>
      <c r="D107" s="1">
        <f>(teraterm[[#This Row],[Column2]]-Q$4)*$S$3*1000</f>
        <v>-8991.2923177083321</v>
      </c>
      <c r="E107" s="1">
        <f>IF(ABS(VALUE(teraterm[[#This Row],[Column1]]))&lt;4096,VALUE(teraterm[[#This Row],[Column1]]),0)</f>
        <v>529</v>
      </c>
      <c r="F107" s="1">
        <f>teraterm[[#This Row],[V(V)]]^2</f>
        <v>50769.958355560899</v>
      </c>
    </row>
    <row r="108" spans="1:6" x14ac:dyDescent="0.25">
      <c r="A108" s="7">
        <v>390</v>
      </c>
      <c r="B108" s="2">
        <v>9616</v>
      </c>
      <c r="C108" s="1">
        <f>(teraterm[[#This Row],[Value(V)]]+$K$2)*$S$2</f>
        <v>-237.996826171875</v>
      </c>
      <c r="D108" s="1">
        <f>(teraterm[[#This Row],[Column2]]-Q$4)*$S$3*1000</f>
        <v>3912.7604166666665</v>
      </c>
      <c r="E108" s="1">
        <f>IF(ABS(VALUE(teraterm[[#This Row],[Column1]]))&lt;4096,VALUE(teraterm[[#This Row],[Column1]]),0)</f>
        <v>390</v>
      </c>
      <c r="F108" s="1">
        <f>teraterm[[#This Row],[V(V)]]^2</f>
        <v>56642.489267885685</v>
      </c>
    </row>
    <row r="109" spans="1:6" x14ac:dyDescent="0.25">
      <c r="A109" s="7">
        <v>248</v>
      </c>
      <c r="B109" s="2">
        <v>-24840</v>
      </c>
      <c r="C109" s="1">
        <f>(teraterm[[#This Row],[Value(V)]]+$K$2)*$S$2</f>
        <v>-250.9453125</v>
      </c>
      <c r="D109" s="1">
        <f>(teraterm[[#This Row],[Column2]]-Q$4)*$S$3*1000</f>
        <v>-10107.421874999998</v>
      </c>
      <c r="E109" s="1">
        <f>IF(ABS(VALUE(teraterm[[#This Row],[Column1]]))&lt;4096,VALUE(teraterm[[#This Row],[Column1]]),0)</f>
        <v>248</v>
      </c>
      <c r="F109" s="1">
        <f>teraterm[[#This Row],[V(V)]]^2</f>
        <v>62973.549865722656</v>
      </c>
    </row>
    <row r="110" spans="1:6" x14ac:dyDescent="0.25">
      <c r="A110" s="7">
        <v>177</v>
      </c>
      <c r="B110" s="2">
        <v>24480</v>
      </c>
      <c r="C110" s="1">
        <f>(teraterm[[#This Row],[Value(V)]]+$K$2)*$S$2</f>
        <v>-257.4195556640625</v>
      </c>
      <c r="D110" s="1">
        <f>(teraterm[[#This Row],[Column2]]-Q$4)*$S$3*1000</f>
        <v>9960.9375</v>
      </c>
      <c r="E110" s="1">
        <f>IF(ABS(VALUE(teraterm[[#This Row],[Column1]]))&lt;4096,VALUE(teraterm[[#This Row],[Column1]]),0)</f>
        <v>177</v>
      </c>
      <c r="F110" s="1">
        <f>teraterm[[#This Row],[V(V)]]^2</f>
        <v>66264.827638283372</v>
      </c>
    </row>
    <row r="111" spans="1:6" x14ac:dyDescent="0.25">
      <c r="A111" s="7">
        <v>147</v>
      </c>
      <c r="B111" s="2">
        <v>18782</v>
      </c>
      <c r="C111" s="1">
        <f>(teraterm[[#This Row],[Value(V)]]+$K$2)*$S$2</f>
        <v>-260.1551513671875</v>
      </c>
      <c r="D111" s="1">
        <f>(teraterm[[#This Row],[Column2]]-Q$4)*$S$3*1000</f>
        <v>7642.415364583333</v>
      </c>
      <c r="E111" s="1">
        <f>IF(ABS(VALUE(teraterm[[#This Row],[Column1]]))&lt;4096,VALUE(teraterm[[#This Row],[Column1]]),0)</f>
        <v>147</v>
      </c>
      <c r="F111" s="1">
        <f>teraterm[[#This Row],[V(V)]]^2</f>
        <v>67680.70278288424</v>
      </c>
    </row>
    <row r="112" spans="1:6" x14ac:dyDescent="0.25">
      <c r="A112" s="7">
        <v>136</v>
      </c>
      <c r="B112" s="2">
        <v>17951</v>
      </c>
      <c r="C112" s="1">
        <f>(teraterm[[#This Row],[Value(V)]]+$K$2)*$S$2</f>
        <v>-261.158203125</v>
      </c>
      <c r="D112" s="1">
        <f>(teraterm[[#This Row],[Column2]]-Q$4)*$S$3*1000</f>
        <v>7304.280598958333</v>
      </c>
      <c r="E112" s="1">
        <f>IF(ABS(VALUE(teraterm[[#This Row],[Column1]]))&lt;4096,VALUE(teraterm[[#This Row],[Column1]]),0)</f>
        <v>136</v>
      </c>
      <c r="F112" s="1">
        <f>teraterm[[#This Row],[V(V)]]^2</f>
        <v>68203.60705947876</v>
      </c>
    </row>
    <row r="113" spans="1:6" x14ac:dyDescent="0.25">
      <c r="A113" s="7">
        <v>141</v>
      </c>
      <c r="B113" s="2">
        <v>21203</v>
      </c>
      <c r="C113" s="1">
        <f>(teraterm[[#This Row],[Value(V)]]+$K$2)*$S$2</f>
        <v>-260.7022705078125</v>
      </c>
      <c r="D113" s="1">
        <f>(teraterm[[#This Row],[Column2]]-Q$4)*$S$3*1000</f>
        <v>8627.5227864583321</v>
      </c>
      <c r="E113" s="1">
        <f>IF(ABS(VALUE(teraterm[[#This Row],[Column1]]))&lt;4096,VALUE(teraterm[[#This Row],[Column1]]),0)</f>
        <v>141</v>
      </c>
      <c r="F113" s="1">
        <f>teraterm[[#This Row],[V(V)]]^2</f>
        <v>67965.673847928643</v>
      </c>
    </row>
    <row r="114" spans="1:6" x14ac:dyDescent="0.25">
      <c r="A114" s="7">
        <v>179</v>
      </c>
      <c r="B114" s="2">
        <v>-32678</v>
      </c>
      <c r="C114" s="1">
        <f>(teraterm[[#This Row],[Value(V)]]+$K$2)*$S$2</f>
        <v>-257.2371826171875</v>
      </c>
      <c r="D114" s="1">
        <f>(teraterm[[#This Row],[Column2]]-Q$4)*$S$3*1000</f>
        <v>-13296.712239583332</v>
      </c>
      <c r="E114" s="1">
        <f>IF(ABS(VALUE(teraterm[[#This Row],[Column1]]))&lt;4096,VALUE(teraterm[[#This Row],[Column1]]),0)</f>
        <v>179</v>
      </c>
      <c r="F114" s="1">
        <f>teraterm[[#This Row],[V(V)]]^2</f>
        <v>66170.968120828271</v>
      </c>
    </row>
    <row r="115" spans="1:6" x14ac:dyDescent="0.25">
      <c r="A115" s="7">
        <v>296</v>
      </c>
      <c r="B115" s="2">
        <v>-924</v>
      </c>
      <c r="C115" s="1">
        <f>(teraterm[[#This Row],[Value(V)]]+$K$2)*$S$2</f>
        <v>-246.568359375</v>
      </c>
      <c r="D115" s="1">
        <f>(teraterm[[#This Row],[Column2]]-Q$4)*$S$3*1000</f>
        <v>-375.97656249999994</v>
      </c>
      <c r="E115" s="1">
        <f>IF(ABS(VALUE(teraterm[[#This Row],[Column1]]))&lt;4096,VALUE(teraterm[[#This Row],[Column1]]),0)</f>
        <v>296</v>
      </c>
      <c r="F115" s="1">
        <f>teraterm[[#This Row],[V(V)]]^2</f>
        <v>60795.95584487915</v>
      </c>
    </row>
    <row r="116" spans="1:6" x14ac:dyDescent="0.25">
      <c r="A116" s="7">
        <v>467</v>
      </c>
      <c r="B116" s="2">
        <v>-21060</v>
      </c>
      <c r="C116" s="1">
        <f>(teraterm[[#This Row],[Value(V)]]+$K$2)*$S$2</f>
        <v>-230.9754638671875</v>
      </c>
      <c r="D116" s="1">
        <f>(teraterm[[#This Row],[Column2]]-Q$4)*$S$3*1000</f>
        <v>-8569.3359375</v>
      </c>
      <c r="E116" s="1">
        <f>IF(ABS(VALUE(teraterm[[#This Row],[Column1]]))&lt;4096,VALUE(teraterm[[#This Row],[Column1]]),0)</f>
        <v>467</v>
      </c>
      <c r="F116" s="1">
        <f>teraterm[[#This Row],[V(V)]]^2</f>
        <v>53349.664908662438</v>
      </c>
    </row>
    <row r="117" spans="1:6" x14ac:dyDescent="0.25">
      <c r="A117" s="7">
        <v>651</v>
      </c>
      <c r="B117" s="2">
        <v>27478</v>
      </c>
      <c r="C117" s="1">
        <f>(teraterm[[#This Row],[Value(V)]]+$K$2)*$S$2</f>
        <v>-214.1971435546875</v>
      </c>
      <c r="D117" s="1">
        <f>(teraterm[[#This Row],[Column2]]-Q$4)*$S$3*1000</f>
        <v>11180.826822916666</v>
      </c>
      <c r="E117" s="1">
        <f>IF(ABS(VALUE(teraterm[[#This Row],[Column1]]))&lt;4096,VALUE(teraterm[[#This Row],[Column1]]),0)</f>
        <v>651</v>
      </c>
      <c r="F117" s="1">
        <f>teraterm[[#This Row],[V(V)]]^2</f>
        <v>45880.416306987405</v>
      </c>
    </row>
    <row r="118" spans="1:6" x14ac:dyDescent="0.25">
      <c r="A118" s="7">
        <v>859</v>
      </c>
      <c r="B118" s="2">
        <v>16410</v>
      </c>
      <c r="C118" s="1">
        <f>(teraterm[[#This Row],[Value(V)]]+$K$2)*$S$2</f>
        <v>-195.2303466796875</v>
      </c>
      <c r="D118" s="1">
        <f>(teraterm[[#This Row],[Column2]]-Q$4)*$S$3*1000</f>
        <v>6677.2460937499991</v>
      </c>
      <c r="E118" s="1">
        <f>IF(ABS(VALUE(teraterm[[#This Row],[Column1]]))&lt;4096,VALUE(teraterm[[#This Row],[Column1]]),0)</f>
        <v>859</v>
      </c>
      <c r="F118" s="1">
        <f>teraterm[[#This Row],[V(V)]]^2</f>
        <v>38114.888264670968</v>
      </c>
    </row>
    <row r="119" spans="1:6" x14ac:dyDescent="0.25">
      <c r="A119" s="7">
        <v>1129</v>
      </c>
      <c r="B119" s="2">
        <v>20939</v>
      </c>
      <c r="C119" s="1">
        <f>(teraterm[[#This Row],[Value(V)]]+$K$2)*$S$2</f>
        <v>-170.6099853515625</v>
      </c>
      <c r="D119" s="1">
        <f>(teraterm[[#This Row],[Column2]]-Q$4)*$S$3*1000</f>
        <v>8520.1009114583321</v>
      </c>
      <c r="E119" s="1">
        <f>IF(ABS(VALUE(teraterm[[#This Row],[Column1]]))&lt;4096,VALUE(teraterm[[#This Row],[Column1]]),0)</f>
        <v>1129</v>
      </c>
      <c r="F119" s="1">
        <f>teraterm[[#This Row],[V(V)]]^2</f>
        <v>29107.767101660371</v>
      </c>
    </row>
    <row r="120" spans="1:6" x14ac:dyDescent="0.25">
      <c r="A120" s="7">
        <v>1365</v>
      </c>
      <c r="B120" s="2">
        <v>16525</v>
      </c>
      <c r="C120" s="1">
        <f>(teraterm[[#This Row],[Value(V)]]+$K$2)*$S$2</f>
        <v>-149.0899658203125</v>
      </c>
      <c r="D120" s="1">
        <f>(teraterm[[#This Row],[Column2]]-Q$4)*$S$3*1000</f>
        <v>6724.0397135416661</v>
      </c>
      <c r="E120" s="1">
        <f>IF(ABS(VALUE(teraterm[[#This Row],[Column1]]))&lt;4096,VALUE(teraterm[[#This Row],[Column1]]),0)</f>
        <v>1365</v>
      </c>
      <c r="F120" s="1">
        <f>teraterm[[#This Row],[V(V)]]^2</f>
        <v>22227.81790830195</v>
      </c>
    </row>
    <row r="121" spans="1:6" x14ac:dyDescent="0.25">
      <c r="A121" s="7">
        <v>1641</v>
      </c>
      <c r="B121" s="2">
        <v>22072</v>
      </c>
      <c r="C121" s="1">
        <f>(teraterm[[#This Row],[Value(V)]]+$K$2)*$S$2</f>
        <v>-123.9224853515625</v>
      </c>
      <c r="D121" s="1">
        <f>(teraterm[[#This Row],[Column2]]-Q$4)*$S$3*1000</f>
        <v>8981.1197916666661</v>
      </c>
      <c r="E121" s="1">
        <f>IF(ABS(VALUE(teraterm[[#This Row],[Column1]]))&lt;4096,VALUE(teraterm[[#This Row],[Column1]]),0)</f>
        <v>1641</v>
      </c>
      <c r="F121" s="1">
        <f>teraterm[[#This Row],[V(V)]]^2</f>
        <v>15356.782375708222</v>
      </c>
    </row>
    <row r="122" spans="1:6" x14ac:dyDescent="0.25">
      <c r="A122" s="7">
        <v>1911</v>
      </c>
      <c r="B122" s="2">
        <v>25811</v>
      </c>
      <c r="C122" s="1">
        <f>(teraterm[[#This Row],[Value(V)]]+$K$2)*$S$2</f>
        <v>-99.3021240234375</v>
      </c>
      <c r="D122" s="1">
        <f>(teraterm[[#This Row],[Column2]]-Q$4)*$S$3*1000</f>
        <v>10502.522786458332</v>
      </c>
      <c r="E122" s="1">
        <f>IF(ABS(VALUE(teraterm[[#This Row],[Column1]]))&lt;4096,VALUE(teraterm[[#This Row],[Column1]]),0)</f>
        <v>1911</v>
      </c>
      <c r="F122" s="1">
        <f>teraterm[[#This Row],[V(V)]]^2</f>
        <v>9860.9118355661631</v>
      </c>
    </row>
    <row r="123" spans="1:6" x14ac:dyDescent="0.25">
      <c r="A123" s="7">
        <v>2195</v>
      </c>
      <c r="B123" s="2">
        <v>-32686</v>
      </c>
      <c r="C123" s="1">
        <f>(teraterm[[#This Row],[Value(V)]]+$K$2)*$S$2</f>
        <v>-73.4051513671875</v>
      </c>
      <c r="D123" s="1">
        <f>(teraterm[[#This Row],[Column2]]-Q$4)*$S$3*1000</f>
        <v>-13299.967447916666</v>
      </c>
      <c r="E123" s="1">
        <f>IF(ABS(VALUE(teraterm[[#This Row],[Column1]]))&lt;4096,VALUE(teraterm[[#This Row],[Column1]]),0)</f>
        <v>2195</v>
      </c>
      <c r="F123" s="1">
        <f>teraterm[[#This Row],[V(V)]]^2</f>
        <v>5388.3162472397089</v>
      </c>
    </row>
    <row r="124" spans="1:6" x14ac:dyDescent="0.25">
      <c r="A124" s="7">
        <v>2466</v>
      </c>
      <c r="B124" s="2">
        <v>-29246</v>
      </c>
      <c r="C124" s="1">
        <f>(teraterm[[#This Row],[Value(V)]]+$K$2)*$S$2</f>
        <v>-48.693603515625</v>
      </c>
      <c r="D124" s="1">
        <f>(teraterm[[#This Row],[Column2]]-Q$4)*$S$3*1000</f>
        <v>-11900.227864583332</v>
      </c>
      <c r="E124" s="1">
        <f>IF(ABS(VALUE(teraterm[[#This Row],[Column1]]))&lt;4096,VALUE(teraterm[[#This Row],[Column1]]),0)</f>
        <v>2466</v>
      </c>
      <c r="F124" s="1">
        <f>teraterm[[#This Row],[V(V)]]^2</f>
        <v>2371.0670233368874</v>
      </c>
    </row>
    <row r="125" spans="1:6" x14ac:dyDescent="0.25">
      <c r="A125" s="7">
        <v>2720</v>
      </c>
      <c r="B125" s="2">
        <v>-30410</v>
      </c>
      <c r="C125" s="1">
        <f>(teraterm[[#This Row],[Value(V)]]+$K$2)*$S$2</f>
        <v>-25.5322265625</v>
      </c>
      <c r="D125" s="1">
        <f>(teraterm[[#This Row],[Column2]]-Q$4)*$S$3*1000</f>
        <v>-12373.860677083332</v>
      </c>
      <c r="E125" s="1">
        <f>IF(ABS(VALUE(teraterm[[#This Row],[Column1]]))&lt;4096,VALUE(teraterm[[#This Row],[Column1]]),0)</f>
        <v>2720</v>
      </c>
      <c r="F125" s="1">
        <f>teraterm[[#This Row],[V(V)]]^2</f>
        <v>651.89459323883057</v>
      </c>
    </row>
    <row r="126" spans="1:6" x14ac:dyDescent="0.25">
      <c r="A126" s="7">
        <v>2981</v>
      </c>
      <c r="B126" s="2">
        <v>-30041</v>
      </c>
      <c r="C126" s="1">
        <f>(teraterm[[#This Row],[Value(V)]]+$K$2)*$S$2</f>
        <v>-1.7325439453125</v>
      </c>
      <c r="D126" s="1">
        <f>(teraterm[[#This Row],[Column2]]-Q$4)*$S$3*1000</f>
        <v>-12223.714192708332</v>
      </c>
      <c r="E126" s="1">
        <f>IF(ABS(VALUE(teraterm[[#This Row],[Column1]]))&lt;4096,VALUE(teraterm[[#This Row],[Column1]]),0)</f>
        <v>2981</v>
      </c>
      <c r="F126" s="1">
        <f>teraterm[[#This Row],[V(V)]]^2</f>
        <v>3.001708522439003</v>
      </c>
    </row>
    <row r="127" spans="1:6" x14ac:dyDescent="0.25">
      <c r="A127" s="7">
        <v>3211</v>
      </c>
      <c r="B127" s="2">
        <v>27702</v>
      </c>
      <c r="C127" s="1">
        <f>(teraterm[[#This Row],[Value(V)]]+$K$2)*$S$2</f>
        <v>19.2403564453125</v>
      </c>
      <c r="D127" s="1">
        <f>(teraterm[[#This Row],[Column2]]-Q$4)*$S$3*1000</f>
        <v>11271.972656249998</v>
      </c>
      <c r="E127" s="1">
        <f>IF(ABS(VALUE(teraterm[[#This Row],[Column1]]))&lt;4096,VALUE(teraterm[[#This Row],[Column1]]),0)</f>
        <v>3211</v>
      </c>
      <c r="F127" s="1">
        <f>teraterm[[#This Row],[V(V)]]^2</f>
        <v>370.19131614267826</v>
      </c>
    </row>
    <row r="128" spans="1:6" x14ac:dyDescent="0.25">
      <c r="A128" s="7">
        <v>3425</v>
      </c>
      <c r="B128" s="2">
        <v>15603</v>
      </c>
      <c r="C128" s="1">
        <f>(teraterm[[#This Row],[Value(V)]]+$K$2)*$S$2</f>
        <v>38.7542724609375</v>
      </c>
      <c r="D128" s="1">
        <f>(teraterm[[#This Row],[Column2]]-Q$4)*$S$3*1000</f>
        <v>6348.8769531249991</v>
      </c>
      <c r="E128" s="1">
        <f>IF(ABS(VALUE(teraterm[[#This Row],[Column1]]))&lt;4096,VALUE(teraterm[[#This Row],[Column1]]),0)</f>
        <v>3425</v>
      </c>
      <c r="F128" s="1">
        <f>teraterm[[#This Row],[V(V)]]^2</f>
        <v>1501.8936339765787</v>
      </c>
    </row>
    <row r="129" spans="1:6" x14ac:dyDescent="0.25">
      <c r="A129" s="7">
        <v>3642</v>
      </c>
      <c r="B129" s="2">
        <v>4061</v>
      </c>
      <c r="C129" s="1">
        <f>(teraterm[[#This Row],[Value(V)]]+$K$2)*$S$2</f>
        <v>58.541748046875</v>
      </c>
      <c r="D129" s="1">
        <f>(teraterm[[#This Row],[Column2]]-Q$4)*$S$3*1000</f>
        <v>1652.4251302083333</v>
      </c>
      <c r="E129" s="1">
        <f>IF(ABS(VALUE(teraterm[[#This Row],[Column1]]))&lt;4096,VALUE(teraterm[[#This Row],[Column1]]),0)</f>
        <v>3642</v>
      </c>
      <c r="F129" s="1">
        <f>teraterm[[#This Row],[V(V)]]^2</f>
        <v>3427.1362643837929</v>
      </c>
    </row>
    <row r="130" spans="1:6" x14ac:dyDescent="0.25">
      <c r="A130" s="7">
        <v>3775</v>
      </c>
      <c r="B130" s="2">
        <v>-29112</v>
      </c>
      <c r="C130" s="1">
        <f>(teraterm[[#This Row],[Value(V)]]+$K$2)*$S$2</f>
        <v>70.6695556640625</v>
      </c>
      <c r="D130" s="1">
        <f>(teraterm[[#This Row],[Column2]]-Q$4)*$S$3*1000</f>
        <v>-11845.703124999998</v>
      </c>
      <c r="E130" s="1">
        <f>IF(ABS(VALUE(teraterm[[#This Row],[Column1]]))&lt;4096,VALUE(teraterm[[#This Row],[Column1]]),0)</f>
        <v>3775</v>
      </c>
      <c r="F130" s="1">
        <f>teraterm[[#This Row],[V(V)]]^2</f>
        <v>4994.1860977560282</v>
      </c>
    </row>
    <row r="131" spans="1:6" x14ac:dyDescent="0.25">
      <c r="A131" s="7">
        <v>3911</v>
      </c>
      <c r="B131" s="2">
        <v>3889</v>
      </c>
      <c r="C131" s="1">
        <f>(teraterm[[#This Row],[Value(V)]]+$K$2)*$S$2</f>
        <v>83.0709228515625</v>
      </c>
      <c r="D131" s="1">
        <f>(teraterm[[#This Row],[Column2]]-Q$4)*$S$3*1000</f>
        <v>1582.4381510416665</v>
      </c>
      <c r="E131" s="1">
        <f>IF(ABS(VALUE(teraterm[[#This Row],[Column1]]))&lt;4096,VALUE(teraterm[[#This Row],[Column1]]),0)</f>
        <v>3911</v>
      </c>
      <c r="F131" s="1">
        <f>teraterm[[#This Row],[V(V)]]^2</f>
        <v>6900.7782234102488</v>
      </c>
    </row>
    <row r="132" spans="1:6" x14ac:dyDescent="0.25">
      <c r="A132" s="7">
        <v>4001</v>
      </c>
      <c r="B132" s="2">
        <v>25031</v>
      </c>
      <c r="C132" s="1">
        <f>(teraterm[[#This Row],[Value(V)]]+$K$2)*$S$2</f>
        <v>91.2777099609375</v>
      </c>
      <c r="D132" s="1">
        <f>(teraterm[[#This Row],[Column2]]-Q$4)*$S$3*1000</f>
        <v>10185.139973958332</v>
      </c>
      <c r="E132" s="1">
        <f>IF(ABS(VALUE(teraterm[[#This Row],[Column1]]))&lt;4096,VALUE(teraterm[[#This Row],[Column1]]),0)</f>
        <v>4001</v>
      </c>
      <c r="F132" s="1">
        <f>teraterm[[#This Row],[V(V)]]^2</f>
        <v>8331.6203357130289</v>
      </c>
    </row>
    <row r="133" spans="1:6" x14ac:dyDescent="0.25">
      <c r="A133" s="7">
        <v>4037</v>
      </c>
      <c r="B133" s="2">
        <v>32321</v>
      </c>
      <c r="C133" s="1">
        <f>(teraterm[[#This Row],[Value(V)]]+$K$2)*$S$2</f>
        <v>94.5604248046875</v>
      </c>
      <c r="D133" s="1">
        <f>(teraterm[[#This Row],[Column2]]-Q$4)*$S$3*1000</f>
        <v>13151.448567708332</v>
      </c>
      <c r="E133" s="1">
        <f>IF(ABS(VALUE(teraterm[[#This Row],[Column1]]))&lt;4096,VALUE(teraterm[[#This Row],[Column1]]),0)</f>
        <v>4037</v>
      </c>
      <c r="F133" s="1">
        <f>teraterm[[#This Row],[V(V)]]^2</f>
        <v>8941.673939242959</v>
      </c>
    </row>
    <row r="134" spans="1:6" x14ac:dyDescent="0.25">
      <c r="A134" s="7">
        <v>4056</v>
      </c>
      <c r="B134" s="2">
        <v>-30289</v>
      </c>
      <c r="C134" s="1">
        <f>(teraterm[[#This Row],[Value(V)]]+$K$2)*$S$2</f>
        <v>96.29296875</v>
      </c>
      <c r="D134" s="1">
        <f>(teraterm[[#This Row],[Column2]]-Q$4)*$S$3*1000</f>
        <v>-12324.625651041666</v>
      </c>
      <c r="E134" s="1">
        <f>IF(ABS(VALUE(teraterm[[#This Row],[Column1]]))&lt;4096,VALUE(teraterm[[#This Row],[Column1]]),0)</f>
        <v>4056</v>
      </c>
      <c r="F134" s="1">
        <f>teraterm[[#This Row],[V(V)]]^2</f>
        <v>9272.3358306884766</v>
      </c>
    </row>
    <row r="135" spans="1:6" x14ac:dyDescent="0.25">
      <c r="A135" s="7">
        <v>4064</v>
      </c>
      <c r="B135" s="2">
        <v>-30179</v>
      </c>
      <c r="C135" s="1">
        <f>(teraterm[[#This Row],[Value(V)]]+$K$2)*$S$2</f>
        <v>97.0224609375</v>
      </c>
      <c r="D135" s="1">
        <f>(teraterm[[#This Row],[Column2]]-Q$4)*$S$3*1000</f>
        <v>-12279.866536458332</v>
      </c>
      <c r="E135" s="1">
        <f>IF(ABS(VALUE(teraterm[[#This Row],[Column1]]))&lt;4096,VALUE(teraterm[[#This Row],[Column1]]),0)</f>
        <v>4064</v>
      </c>
      <c r="F135" s="1">
        <f>teraterm[[#This Row],[V(V)]]^2</f>
        <v>9413.3579263687134</v>
      </c>
    </row>
    <row r="136" spans="1:6" x14ac:dyDescent="0.25">
      <c r="A136" s="7">
        <v>4052</v>
      </c>
      <c r="B136" s="2">
        <v>30366</v>
      </c>
      <c r="C136" s="1">
        <f>(teraterm[[#This Row],[Value(V)]]+$K$2)*$S$2</f>
        <v>95.92822265625</v>
      </c>
      <c r="D136" s="1">
        <f>(teraterm[[#This Row],[Column2]]-Q$4)*$S$3*1000</f>
        <v>12355.957031249998</v>
      </c>
      <c r="E136" s="1">
        <f>IF(ABS(VALUE(teraterm[[#This Row],[Column1]]))&lt;4096,VALUE(teraterm[[#This Row],[Column1]]),0)</f>
        <v>4052</v>
      </c>
      <c r="F136" s="1">
        <f>teraterm[[#This Row],[V(V)]]^2</f>
        <v>9202.2239019870758</v>
      </c>
    </row>
    <row r="137" spans="1:6" x14ac:dyDescent="0.25">
      <c r="A137" s="7">
        <v>3976</v>
      </c>
      <c r="B137" s="2">
        <v>9075</v>
      </c>
      <c r="C137" s="1">
        <f>(teraterm[[#This Row],[Value(V)]]+$K$2)*$S$2</f>
        <v>88.998046875</v>
      </c>
      <c r="D137" s="1">
        <f>(teraterm[[#This Row],[Column2]]-Q$4)*$S$3*1000</f>
        <v>3692.6269531249995</v>
      </c>
      <c r="E137" s="1">
        <f>IF(ABS(VALUE(teraterm[[#This Row],[Column1]]))&lt;4096,VALUE(teraterm[[#This Row],[Column1]]),0)</f>
        <v>3976</v>
      </c>
      <c r="F137" s="1">
        <f>teraterm[[#This Row],[V(V)]]^2</f>
        <v>7920.6523475646973</v>
      </c>
    </row>
    <row r="138" spans="1:6" x14ac:dyDescent="0.25">
      <c r="A138" s="7">
        <v>3817</v>
      </c>
      <c r="B138" s="2">
        <v>32238</v>
      </c>
      <c r="C138" s="1">
        <f>(teraterm[[#This Row],[Value(V)]]+$K$2)*$S$2</f>
        <v>74.4993896484375</v>
      </c>
      <c r="D138" s="1">
        <f>(teraterm[[#This Row],[Column2]]-Q$4)*$S$3*1000</f>
        <v>13117.675781249998</v>
      </c>
      <c r="E138" s="1">
        <f>IF(ABS(VALUE(teraterm[[#This Row],[Column1]]))&lt;4096,VALUE(teraterm[[#This Row],[Column1]]),0)</f>
        <v>3817</v>
      </c>
      <c r="F138" s="1">
        <f>teraterm[[#This Row],[V(V)]]^2</f>
        <v>5550.1590579897165</v>
      </c>
    </row>
    <row r="139" spans="1:6" x14ac:dyDescent="0.25">
      <c r="A139" s="7">
        <v>3658</v>
      </c>
      <c r="B139" s="2">
        <v>-9969</v>
      </c>
      <c r="C139" s="1">
        <f>(teraterm[[#This Row],[Value(V)]]+$K$2)*$S$2</f>
        <v>60.000732421875</v>
      </c>
      <c r="D139" s="1">
        <f>(teraterm[[#This Row],[Column2]]-Q$4)*$S$3*1000</f>
        <v>-4056.396484375</v>
      </c>
      <c r="E139" s="1">
        <f>IF(ABS(VALUE(teraterm[[#This Row],[Column1]]))&lt;4096,VALUE(teraterm[[#This Row],[Column1]]),0)</f>
        <v>3658</v>
      </c>
      <c r="F139" s="1">
        <f>teraterm[[#This Row],[V(V)]]^2</f>
        <v>3600.0878911614418</v>
      </c>
    </row>
    <row r="140" spans="1:6" x14ac:dyDescent="0.25">
      <c r="A140" s="7">
        <v>3474</v>
      </c>
      <c r="B140" s="2">
        <v>7149</v>
      </c>
      <c r="C140" s="1">
        <f>(teraterm[[#This Row],[Value(V)]]+$K$2)*$S$2</f>
        <v>43.222412109375</v>
      </c>
      <c r="D140" s="1">
        <f>(teraterm[[#This Row],[Column2]]-Q$4)*$S$3*1000</f>
        <v>2908.9355468749995</v>
      </c>
      <c r="E140" s="1">
        <f>IF(ABS(VALUE(teraterm[[#This Row],[Column1]]))&lt;4096,VALUE(teraterm[[#This Row],[Column1]]),0)</f>
        <v>3474</v>
      </c>
      <c r="F140" s="1">
        <f>teraterm[[#This Row],[V(V)]]^2</f>
        <v>1868.1769085526466</v>
      </c>
    </row>
    <row r="141" spans="1:6" x14ac:dyDescent="0.25">
      <c r="A141" s="7">
        <v>3225</v>
      </c>
      <c r="B141" s="2">
        <v>7882</v>
      </c>
      <c r="C141" s="1">
        <f>(teraterm[[#This Row],[Value(V)]]+$K$2)*$S$2</f>
        <v>20.5169677734375</v>
      </c>
      <c r="D141" s="1">
        <f>(teraterm[[#This Row],[Column2]]-Q$4)*$S$3*1000</f>
        <v>3207.1940104166665</v>
      </c>
      <c r="E141" s="1">
        <f>IF(ABS(VALUE(teraterm[[#This Row],[Column1]]))&lt;4096,VALUE(teraterm[[#This Row],[Column1]]),0)</f>
        <v>3225</v>
      </c>
      <c r="F141" s="1">
        <f>teraterm[[#This Row],[V(V)]]^2</f>
        <v>420.94596661627293</v>
      </c>
    </row>
    <row r="142" spans="1:6" x14ac:dyDescent="0.25">
      <c r="A142" s="7">
        <v>2984</v>
      </c>
      <c r="B142" s="2">
        <v>10908</v>
      </c>
      <c r="C142" s="1">
        <f>(teraterm[[#This Row],[Value(V)]]+$K$2)*$S$2</f>
        <v>-1.458984375</v>
      </c>
      <c r="D142" s="1">
        <f>(teraterm[[#This Row],[Column2]]-Q$4)*$S$3*1000</f>
        <v>4438.4765625</v>
      </c>
      <c r="E142" s="1">
        <f>IF(ABS(VALUE(teraterm[[#This Row],[Column1]]))&lt;4096,VALUE(teraterm[[#This Row],[Column1]]),0)</f>
        <v>2984</v>
      </c>
      <c r="F142" s="1">
        <f>teraterm[[#This Row],[V(V)]]^2</f>
        <v>2.1286354064941406</v>
      </c>
    </row>
    <row r="143" spans="1:6" x14ac:dyDescent="0.25">
      <c r="A143" s="7">
        <v>2734</v>
      </c>
      <c r="B143" s="2">
        <v>11883</v>
      </c>
      <c r="C143" s="1">
        <f>(teraterm[[#This Row],[Value(V)]]+$K$2)*$S$2</f>
        <v>-24.255615234375</v>
      </c>
      <c r="D143" s="1">
        <f>(teraterm[[#This Row],[Column2]]-Q$4)*$S$3*1000</f>
        <v>4835.205078125</v>
      </c>
      <c r="E143" s="1">
        <f>IF(ABS(VALUE(teraterm[[#This Row],[Column1]]))&lt;4096,VALUE(teraterm[[#This Row],[Column1]]),0)</f>
        <v>2734</v>
      </c>
      <c r="F143" s="1">
        <f>teraterm[[#This Row],[V(V)]]^2</f>
        <v>588.33487039804459</v>
      </c>
    </row>
    <row r="144" spans="1:6" x14ac:dyDescent="0.25">
      <c r="A144" s="7">
        <v>2461</v>
      </c>
      <c r="B144" s="2">
        <v>7245</v>
      </c>
      <c r="C144" s="1">
        <f>(teraterm[[#This Row],[Value(V)]]+$K$2)*$S$2</f>
        <v>-49.1495361328125</v>
      </c>
      <c r="D144" s="1">
        <f>(teraterm[[#This Row],[Column2]]-Q$4)*$S$3*1000</f>
        <v>2947.9980468749995</v>
      </c>
      <c r="E144" s="1">
        <f>IF(ABS(VALUE(teraterm[[#This Row],[Column1]]))&lt;4096,VALUE(teraterm[[#This Row],[Column1]]),0)</f>
        <v>2461</v>
      </c>
      <c r="F144" s="1">
        <f>teraterm[[#This Row],[V(V)]]^2</f>
        <v>2415.6769020706415</v>
      </c>
    </row>
    <row r="145" spans="1:6" x14ac:dyDescent="0.25">
      <c r="A145" s="7">
        <v>2181</v>
      </c>
      <c r="B145" s="2">
        <v>1096</v>
      </c>
      <c r="C145" s="1">
        <f>(teraterm[[#This Row],[Value(V)]]+$K$2)*$S$2</f>
        <v>-74.6817626953125</v>
      </c>
      <c r="D145" s="1">
        <f>(teraterm[[#This Row],[Column2]]-Q$4)*$S$3*1000</f>
        <v>445.96354166666663</v>
      </c>
      <c r="E145" s="1">
        <f>IF(ABS(VALUE(teraterm[[#This Row],[Column1]]))&lt;4096,VALUE(teraterm[[#This Row],[Column1]]),0)</f>
        <v>2181</v>
      </c>
      <c r="F145" s="1">
        <f>teraterm[[#This Row],[V(V)]]^2</f>
        <v>5577.3656792789698</v>
      </c>
    </row>
    <row r="146" spans="1:6" x14ac:dyDescent="0.25">
      <c r="A146" s="7">
        <v>1894</v>
      </c>
      <c r="B146" s="2">
        <v>-6558</v>
      </c>
      <c r="C146" s="1">
        <f>(teraterm[[#This Row],[Value(V)]]+$K$2)*$S$2</f>
        <v>-100.852294921875</v>
      </c>
      <c r="D146" s="1">
        <f>(teraterm[[#This Row],[Column2]]-Q$4)*$S$3*1000</f>
        <v>-2668.4570312499995</v>
      </c>
      <c r="E146" s="1">
        <f>IF(ABS(VALUE(teraterm[[#This Row],[Column1]]))&lt;4096,VALUE(teraterm[[#This Row],[Column1]]),0)</f>
        <v>1894</v>
      </c>
      <c r="F146" s="1">
        <f>teraterm[[#This Row],[V(V)]]^2</f>
        <v>10171.185391008854</v>
      </c>
    </row>
    <row r="147" spans="1:6" x14ac:dyDescent="0.25">
      <c r="A147" s="7">
        <v>1636</v>
      </c>
      <c r="B147" s="2">
        <v>-6531</v>
      </c>
      <c r="C147" s="1">
        <f>(teraterm[[#This Row],[Value(V)]]+$K$2)*$S$2</f>
        <v>-124.37841796875</v>
      </c>
      <c r="D147" s="1">
        <f>(teraterm[[#This Row],[Column2]]-Q$4)*$S$3*1000</f>
        <v>-2657.4707031249995</v>
      </c>
      <c r="E147" s="1">
        <f>IF(ABS(VALUE(teraterm[[#This Row],[Column1]]))&lt;4096,VALUE(teraterm[[#This Row],[Column1]]),0)</f>
        <v>1636</v>
      </c>
      <c r="F147" s="1">
        <f>teraterm[[#This Row],[V(V)]]^2</f>
        <v>15469.990856409073</v>
      </c>
    </row>
    <row r="148" spans="1:6" x14ac:dyDescent="0.25">
      <c r="A148" s="7">
        <v>1362</v>
      </c>
      <c r="B148" s="2">
        <v>-10328</v>
      </c>
      <c r="C148" s="1">
        <f>(teraterm[[#This Row],[Value(V)]]+$K$2)*$S$2</f>
        <v>-149.363525390625</v>
      </c>
      <c r="D148" s="1">
        <f>(teraterm[[#This Row],[Column2]]-Q$4)*$S$3*1000</f>
        <v>-4202.473958333333</v>
      </c>
      <c r="E148" s="1">
        <f>IF(ABS(VALUE(teraterm[[#This Row],[Column1]]))&lt;4096,VALUE(teraterm[[#This Row],[Column1]]),0)</f>
        <v>1362</v>
      </c>
      <c r="F148" s="1">
        <f>teraterm[[#This Row],[V(V)]]^2</f>
        <v>22309.462717115879</v>
      </c>
    </row>
    <row r="149" spans="1:6" x14ac:dyDescent="0.25">
      <c r="A149" s="7">
        <v>1109</v>
      </c>
      <c r="B149" s="2">
        <v>-8499</v>
      </c>
      <c r="C149" s="1">
        <f>(teraterm[[#This Row],[Value(V)]]+$K$2)*$S$2</f>
        <v>-172.4337158203125</v>
      </c>
      <c r="D149" s="1">
        <f>(teraterm[[#This Row],[Column2]]-Q$4)*$S$3*1000</f>
        <v>-3458.2519531249995</v>
      </c>
      <c r="E149" s="1">
        <f>IF(ABS(VALUE(teraterm[[#This Row],[Column1]]))&lt;4096,VALUE(teraterm[[#This Row],[Column1]]),0)</f>
        <v>1109</v>
      </c>
      <c r="F149" s="1">
        <f>teraterm[[#This Row],[V(V)]]^2</f>
        <v>29733.386351600289</v>
      </c>
    </row>
    <row r="150" spans="1:6" x14ac:dyDescent="0.25">
      <c r="A150" s="7">
        <v>884</v>
      </c>
      <c r="B150" s="2">
        <v>719</v>
      </c>
      <c r="C150" s="1">
        <f>(teraterm[[#This Row],[Value(V)]]+$K$2)*$S$2</f>
        <v>-192.95068359375</v>
      </c>
      <c r="D150" s="1">
        <f>(teraterm[[#This Row],[Column2]]-Q$4)*$S$3*1000</f>
        <v>292.56184895833331</v>
      </c>
      <c r="E150" s="1">
        <f>IF(ABS(VALUE(teraterm[[#This Row],[Column1]]))&lt;4096,VALUE(teraterm[[#This Row],[Column1]]),0)</f>
        <v>884</v>
      </c>
      <c r="F150" s="1">
        <f>teraterm[[#This Row],[V(V)]]^2</f>
        <v>37229.966299295425</v>
      </c>
    </row>
    <row r="151" spans="1:6" x14ac:dyDescent="0.25">
      <c r="A151" s="7">
        <v>645</v>
      </c>
      <c r="B151" s="2">
        <v>6587</v>
      </c>
      <c r="C151" s="1">
        <f>(teraterm[[#This Row],[Value(V)]]+$K$2)*$S$2</f>
        <v>-214.7442626953125</v>
      </c>
      <c r="D151" s="1">
        <f>(teraterm[[#This Row],[Column2]]-Q$4)*$S$3*1000</f>
        <v>2680.257161458333</v>
      </c>
      <c r="E151" s="1">
        <f>IF(ABS(VALUE(teraterm[[#This Row],[Column1]]))&lt;4096,VALUE(teraterm[[#This Row],[Column1]]),0)</f>
        <v>645</v>
      </c>
      <c r="F151" s="1">
        <f>teraterm[[#This Row],[V(V)]]^2</f>
        <v>46115.098360553384</v>
      </c>
    </row>
    <row r="152" spans="1:6" x14ac:dyDescent="0.25">
      <c r="A152" s="7">
        <v>479</v>
      </c>
      <c r="B152" s="2">
        <v>31303</v>
      </c>
      <c r="C152" s="1">
        <f>(teraterm[[#This Row],[Value(V)]]+$K$2)*$S$2</f>
        <v>-229.8812255859375</v>
      </c>
      <c r="D152" s="1">
        <f>(teraterm[[#This Row],[Column2]]-Q$4)*$S$3*1000</f>
        <v>12737.223307291666</v>
      </c>
      <c r="E152" s="1">
        <f>IF(ABS(VALUE(teraterm[[#This Row],[Column1]]))&lt;4096,VALUE(teraterm[[#This Row],[Column1]]),0)</f>
        <v>479</v>
      </c>
      <c r="F152" s="1">
        <f>teraterm[[#This Row],[V(V)]]^2</f>
        <v>52845.377876892686</v>
      </c>
    </row>
    <row r="153" spans="1:6" x14ac:dyDescent="0.25">
      <c r="A153" s="7">
        <v>334</v>
      </c>
      <c r="B153" s="2">
        <v>-4003</v>
      </c>
      <c r="C153" s="1">
        <f>(teraterm[[#This Row],[Value(V)]]+$K$2)*$S$2</f>
        <v>-243.103271484375</v>
      </c>
      <c r="D153" s="1">
        <f>(teraterm[[#This Row],[Column2]]-Q$4)*$S$3*1000</f>
        <v>-1628.8248697916665</v>
      </c>
      <c r="E153" s="1">
        <f>IF(ABS(VALUE(teraterm[[#This Row],[Column1]]))&lt;4096,VALUE(teraterm[[#This Row],[Column1]]),0)</f>
        <v>334</v>
      </c>
      <c r="F153" s="1">
        <f>teraterm[[#This Row],[V(V)]]^2</f>
        <v>59099.200606405735</v>
      </c>
    </row>
    <row r="154" spans="1:6" x14ac:dyDescent="0.25">
      <c r="A154" s="7">
        <v>215</v>
      </c>
      <c r="B154" s="2">
        <v>-32541</v>
      </c>
      <c r="C154" s="1">
        <f>(teraterm[[#This Row],[Value(V)]]+$K$2)*$S$2</f>
        <v>-253.9544677734375</v>
      </c>
      <c r="D154" s="1">
        <f>(teraterm[[#This Row],[Column2]]-Q$4)*$S$3*1000</f>
        <v>-13240.966796874998</v>
      </c>
      <c r="E154" s="1">
        <f>IF(ABS(VALUE(teraterm[[#This Row],[Column1]]))&lt;4096,VALUE(teraterm[[#This Row],[Column1]]),0)</f>
        <v>215</v>
      </c>
      <c r="F154" s="1">
        <f>teraterm[[#This Row],[V(V)]]^2</f>
        <v>64492.871702089906</v>
      </c>
    </row>
    <row r="155" spans="1:6" x14ac:dyDescent="0.25">
      <c r="A155" s="7">
        <v>163</v>
      </c>
      <c r="B155" s="2">
        <v>21654</v>
      </c>
      <c r="C155" s="1">
        <f>(teraterm[[#This Row],[Value(V)]]+$K$2)*$S$2</f>
        <v>-258.6961669921875</v>
      </c>
      <c r="D155" s="1">
        <f>(teraterm[[#This Row],[Column2]]-Q$4)*$S$3*1000</f>
        <v>8811.03515625</v>
      </c>
      <c r="E155" s="1">
        <f>IF(ABS(VALUE(teraterm[[#This Row],[Column1]]))&lt;4096,VALUE(teraterm[[#This Row],[Column1]]),0)</f>
        <v>163</v>
      </c>
      <c r="F155" s="1">
        <f>teraterm[[#This Row],[V(V)]]^2</f>
        <v>66923.706816449761</v>
      </c>
    </row>
    <row r="156" spans="1:6" x14ac:dyDescent="0.25">
      <c r="A156" s="7">
        <v>142</v>
      </c>
      <c r="B156" s="2">
        <v>18262</v>
      </c>
      <c r="C156" s="1">
        <f>(teraterm[[#This Row],[Value(V)]]+$K$2)*$S$2</f>
        <v>-260.611083984375</v>
      </c>
      <c r="D156" s="1">
        <f>(teraterm[[#This Row],[Column2]]-Q$4)*$S$3*1000</f>
        <v>7430.8268229166661</v>
      </c>
      <c r="E156" s="1">
        <f>IF(ABS(VALUE(teraterm[[#This Row],[Column1]]))&lt;4096,VALUE(teraterm[[#This Row],[Column1]]),0)</f>
        <v>142</v>
      </c>
      <c r="F156" s="1">
        <f>teraterm[[#This Row],[V(V)]]^2</f>
        <v>67918.13709551096</v>
      </c>
    </row>
    <row r="157" spans="1:6" x14ac:dyDescent="0.25">
      <c r="A157" s="7">
        <v>136</v>
      </c>
      <c r="B157" s="2">
        <v>18708</v>
      </c>
      <c r="C157" s="1">
        <f>(teraterm[[#This Row],[Value(V)]]+$K$2)*$S$2</f>
        <v>-261.158203125</v>
      </c>
      <c r="D157" s="1">
        <f>(teraterm[[#This Row],[Column2]]-Q$4)*$S$3*1000</f>
        <v>7612.3046874999991</v>
      </c>
      <c r="E157" s="1">
        <f>IF(ABS(VALUE(teraterm[[#This Row],[Column1]]))&lt;4096,VALUE(teraterm[[#This Row],[Column1]]),0)</f>
        <v>136</v>
      </c>
      <c r="F157" s="1">
        <f>teraterm[[#This Row],[V(V)]]^2</f>
        <v>68203.60705947876</v>
      </c>
    </row>
    <row r="158" spans="1:6" x14ac:dyDescent="0.25">
      <c r="A158" s="7">
        <v>147</v>
      </c>
      <c r="B158" s="2">
        <v>23487</v>
      </c>
      <c r="C158" s="1">
        <f>(teraterm[[#This Row],[Value(V)]]+$K$2)*$S$2</f>
        <v>-260.1551513671875</v>
      </c>
      <c r="D158" s="1">
        <f>(teraterm[[#This Row],[Column2]]-Q$4)*$S$3*1000</f>
        <v>9556.884765625</v>
      </c>
      <c r="E158" s="1">
        <f>IF(ABS(VALUE(teraterm[[#This Row],[Column1]]))&lt;4096,VALUE(teraterm[[#This Row],[Column1]]),0)</f>
        <v>147</v>
      </c>
      <c r="F158" s="1">
        <f>teraterm[[#This Row],[V(V)]]^2</f>
        <v>67680.70278288424</v>
      </c>
    </row>
    <row r="159" spans="1:6" x14ac:dyDescent="0.25">
      <c r="A159" s="7">
        <v>208</v>
      </c>
      <c r="B159" s="2">
        <v>-24538</v>
      </c>
      <c r="C159" s="1">
        <f>(teraterm[[#This Row],[Value(V)]]+$K$2)*$S$2</f>
        <v>-254.5927734375</v>
      </c>
      <c r="D159" s="1">
        <f>(teraterm[[#This Row],[Column2]]-Q$4)*$S$3*1000</f>
        <v>-9984.5377604166661</v>
      </c>
      <c r="E159" s="1">
        <f>IF(ABS(VALUE(teraterm[[#This Row],[Column1]]))&lt;4096,VALUE(teraterm[[#This Row],[Column1]]),0)</f>
        <v>208</v>
      </c>
      <c r="F159" s="1">
        <f>teraterm[[#This Row],[V(V)]]^2</f>
        <v>64817.480286598206</v>
      </c>
    </row>
    <row r="160" spans="1:6" x14ac:dyDescent="0.25">
      <c r="A160" s="7">
        <v>357</v>
      </c>
      <c r="B160" s="2">
        <v>15344</v>
      </c>
      <c r="C160" s="1">
        <f>(teraterm[[#This Row],[Value(V)]]+$K$2)*$S$2</f>
        <v>-241.0059814453125</v>
      </c>
      <c r="D160" s="1">
        <f>(teraterm[[#This Row],[Column2]]-Q$4)*$S$3*1000</f>
        <v>6243.489583333333</v>
      </c>
      <c r="E160" s="1">
        <f>IF(ABS(VALUE(teraterm[[#This Row],[Column1]]))&lt;4096,VALUE(teraterm[[#This Row],[Column1]]),0)</f>
        <v>357</v>
      </c>
      <c r="F160" s="1">
        <f>teraterm[[#This Row],[V(V)]]^2</f>
        <v>58083.883092418313</v>
      </c>
    </row>
    <row r="161" spans="1:6" x14ac:dyDescent="0.25">
      <c r="A161" s="7">
        <v>527</v>
      </c>
      <c r="B161" s="2">
        <v>-5110</v>
      </c>
      <c r="C161" s="1">
        <f>(teraterm[[#This Row],[Value(V)]]+$K$2)*$S$2</f>
        <v>-225.5042724609375</v>
      </c>
      <c r="D161" s="1">
        <f>(teraterm[[#This Row],[Column2]]-Q$4)*$S$3*1000</f>
        <v>-2079.2643229166665</v>
      </c>
      <c r="E161" s="1">
        <f>IF(ABS(VALUE(teraterm[[#This Row],[Column1]]))&lt;4096,VALUE(teraterm[[#This Row],[Column1]]),0)</f>
        <v>527</v>
      </c>
      <c r="F161" s="1">
        <f>teraterm[[#This Row],[V(V)]]^2</f>
        <v>50852.176898136735</v>
      </c>
    </row>
    <row r="162" spans="1:6" x14ac:dyDescent="0.25">
      <c r="A162" s="7">
        <v>720</v>
      </c>
      <c r="B162" s="2">
        <v>-19876</v>
      </c>
      <c r="C162" s="1">
        <f>(teraterm[[#This Row],[Value(V)]]+$K$2)*$S$2</f>
        <v>-207.9052734375</v>
      </c>
      <c r="D162" s="1">
        <f>(teraterm[[#This Row],[Column2]]-Q$4)*$S$3*1000</f>
        <v>-8087.5651041666661</v>
      </c>
      <c r="E162" s="1">
        <f>IF(ABS(VALUE(teraterm[[#This Row],[Column1]]))&lt;4096,VALUE(teraterm[[#This Row],[Column1]]),0)</f>
        <v>720</v>
      </c>
      <c r="F162" s="1">
        <f>teraterm[[#This Row],[V(V)]]^2</f>
        <v>43224.602723121643</v>
      </c>
    </row>
    <row r="163" spans="1:6" x14ac:dyDescent="0.25">
      <c r="A163" s="7">
        <v>954</v>
      </c>
      <c r="B163" s="2">
        <v>-24385</v>
      </c>
      <c r="C163" s="1">
        <f>(teraterm[[#This Row],[Value(V)]]+$K$2)*$S$2</f>
        <v>-186.567626953125</v>
      </c>
      <c r="D163" s="1">
        <f>(teraterm[[#This Row],[Column2]]-Q$4)*$S$3*1000</f>
        <v>-9922.2819010416661</v>
      </c>
      <c r="E163" s="1">
        <f>IF(ABS(VALUE(teraterm[[#This Row],[Column1]]))&lt;4096,VALUE(teraterm[[#This Row],[Column1]]),0)</f>
        <v>954</v>
      </c>
      <c r="F163" s="1">
        <f>teraterm[[#This Row],[V(V)]]^2</f>
        <v>34807.479426920414</v>
      </c>
    </row>
    <row r="164" spans="1:6" x14ac:dyDescent="0.25">
      <c r="A164" s="7">
        <v>1214</v>
      </c>
      <c r="B164" s="2">
        <v>-22502</v>
      </c>
      <c r="C164" s="1">
        <f>(teraterm[[#This Row],[Value(V)]]+$K$2)*$S$2</f>
        <v>-162.859130859375</v>
      </c>
      <c r="D164" s="1">
        <f>(teraterm[[#This Row],[Column2]]-Q$4)*$S$3*1000</f>
        <v>-9156.0872395833321</v>
      </c>
      <c r="E164" s="1">
        <f>IF(ABS(VALUE(teraterm[[#This Row],[Column1]]))&lt;4096,VALUE(teraterm[[#This Row],[Column1]]),0)</f>
        <v>1214</v>
      </c>
      <c r="F164" s="1">
        <f>teraterm[[#This Row],[V(V)]]^2</f>
        <v>26523.09650427103</v>
      </c>
    </row>
    <row r="165" spans="1:6" x14ac:dyDescent="0.25">
      <c r="A165" s="7">
        <v>1455</v>
      </c>
      <c r="B165" s="2">
        <v>-25728</v>
      </c>
      <c r="C165" s="1">
        <f>(teraterm[[#This Row],[Value(V)]]+$K$2)*$S$2</f>
        <v>-140.8831787109375</v>
      </c>
      <c r="D165" s="1">
        <f>(teraterm[[#This Row],[Column2]]-Q$4)*$S$3*1000</f>
        <v>-10468.749999999998</v>
      </c>
      <c r="E165" s="1">
        <f>IF(ABS(VALUE(teraterm[[#This Row],[Column1]]))&lt;4096,VALUE(teraterm[[#This Row],[Column1]]),0)</f>
        <v>1455</v>
      </c>
      <c r="F165" s="1">
        <f>teraterm[[#This Row],[V(V)]]^2</f>
        <v>19848.070043697953</v>
      </c>
    </row>
    <row r="166" spans="1:6" x14ac:dyDescent="0.25">
      <c r="A166" s="7">
        <v>1737</v>
      </c>
      <c r="B166" s="2">
        <v>-18742</v>
      </c>
      <c r="C166" s="1">
        <f>(teraterm[[#This Row],[Value(V)]]+$K$2)*$S$2</f>
        <v>-115.1685791015625</v>
      </c>
      <c r="D166" s="1">
        <f>(teraterm[[#This Row],[Column2]]-Q$4)*$S$3*1000</f>
        <v>-7626.1393229166661</v>
      </c>
      <c r="E166" s="1">
        <f>IF(ABS(VALUE(teraterm[[#This Row],[Column1]]))&lt;4096,VALUE(teraterm[[#This Row],[Column1]]),0)</f>
        <v>1737</v>
      </c>
      <c r="F166" s="1">
        <f>teraterm[[#This Row],[V(V)]]^2</f>
        <v>13263.801612272859</v>
      </c>
    </row>
    <row r="167" spans="1:6" x14ac:dyDescent="0.25">
      <c r="A167" s="7">
        <v>2012</v>
      </c>
      <c r="B167" s="2">
        <v>-13824</v>
      </c>
      <c r="C167" s="1">
        <f>(teraterm[[#This Row],[Value(V)]]+$K$2)*$S$2</f>
        <v>-90.09228515625</v>
      </c>
      <c r="D167" s="1">
        <f>(teraterm[[#This Row],[Column2]]-Q$4)*$S$3*1000</f>
        <v>-5624.9999999999991</v>
      </c>
      <c r="E167" s="1">
        <f>IF(ABS(VALUE(teraterm[[#This Row],[Column1]]))&lt;4096,VALUE(teraterm[[#This Row],[Column1]]),0)</f>
        <v>2012</v>
      </c>
      <c r="F167" s="1">
        <f>teraterm[[#This Row],[V(V)]]^2</f>
        <v>8116.6198446750641</v>
      </c>
    </row>
    <row r="168" spans="1:6" x14ac:dyDescent="0.25">
      <c r="A168" s="7">
        <v>2297</v>
      </c>
      <c r="B168" s="2">
        <v>-6631</v>
      </c>
      <c r="C168" s="1">
        <f>(teraterm[[#This Row],[Value(V)]]+$K$2)*$S$2</f>
        <v>-64.1041259765625</v>
      </c>
      <c r="D168" s="1">
        <f>(teraterm[[#This Row],[Column2]]-Q$4)*$S$3*1000</f>
        <v>-2698.1608072916665</v>
      </c>
      <c r="E168" s="1">
        <f>IF(ABS(VALUE(teraterm[[#This Row],[Column1]]))&lt;4096,VALUE(teraterm[[#This Row],[Column1]]),0)</f>
        <v>2297</v>
      </c>
      <c r="F168" s="1">
        <f>teraterm[[#This Row],[V(V)]]^2</f>
        <v>4109.3389672189951</v>
      </c>
    </row>
    <row r="169" spans="1:6" x14ac:dyDescent="0.25">
      <c r="A169" s="7">
        <v>2554</v>
      </c>
      <c r="B169" s="2">
        <v>-6863</v>
      </c>
      <c r="C169" s="1">
        <f>(teraterm[[#This Row],[Value(V)]]+$K$2)*$S$2</f>
        <v>-40.669189453125</v>
      </c>
      <c r="D169" s="1">
        <f>(teraterm[[#This Row],[Column2]]-Q$4)*$S$3*1000</f>
        <v>-2792.561848958333</v>
      </c>
      <c r="E169" s="1">
        <f>IF(ABS(VALUE(teraterm[[#This Row],[Column1]]))&lt;4096,VALUE(teraterm[[#This Row],[Column1]]),0)</f>
        <v>2554</v>
      </c>
      <c r="F169" s="1">
        <f>teraterm[[#This Row],[V(V)]]^2</f>
        <v>1653.9829707741737</v>
      </c>
    </row>
    <row r="170" spans="1:6" x14ac:dyDescent="0.25">
      <c r="A170" s="7">
        <v>2813</v>
      </c>
      <c r="B170" s="2">
        <v>-6840</v>
      </c>
      <c r="C170" s="1">
        <f>(teraterm[[#This Row],[Value(V)]]+$K$2)*$S$2</f>
        <v>-17.0518798828125</v>
      </c>
      <c r="D170" s="1">
        <f>(teraterm[[#This Row],[Column2]]-Q$4)*$S$3*1000</f>
        <v>-2783.2031249999995</v>
      </c>
      <c r="E170" s="1">
        <f>IF(ABS(VALUE(teraterm[[#This Row],[Column1]]))&lt;4096,VALUE(teraterm[[#This Row],[Column1]]),0)</f>
        <v>2813</v>
      </c>
      <c r="F170" s="1">
        <f>teraterm[[#This Row],[V(V)]]^2</f>
        <v>290.76660753786564</v>
      </c>
    </row>
    <row r="171" spans="1:6" x14ac:dyDescent="0.25">
      <c r="A171" s="7">
        <v>3066</v>
      </c>
      <c r="B171" s="2">
        <v>-8603</v>
      </c>
      <c r="C171" s="1">
        <f>(teraterm[[#This Row],[Value(V)]]+$K$2)*$S$2</f>
        <v>6.018310546875</v>
      </c>
      <c r="D171" s="1">
        <f>(teraterm[[#This Row],[Column2]]-Q$4)*$S$3*1000</f>
        <v>-3500.569661458333</v>
      </c>
      <c r="E171" s="1">
        <f>IF(ABS(VALUE(teraterm[[#This Row],[Column1]]))&lt;4096,VALUE(teraterm[[#This Row],[Column1]]),0)</f>
        <v>3066</v>
      </c>
      <c r="F171" s="1">
        <f>teraterm[[#This Row],[V(V)]]^2</f>
        <v>36.220061838626862</v>
      </c>
    </row>
    <row r="172" spans="1:6" x14ac:dyDescent="0.25">
      <c r="A172" s="7">
        <v>3286</v>
      </c>
      <c r="B172" s="2">
        <v>-19030</v>
      </c>
      <c r="C172" s="1">
        <f>(teraterm[[#This Row],[Value(V)]]+$K$2)*$S$2</f>
        <v>26.079345703125</v>
      </c>
      <c r="D172" s="1">
        <f>(teraterm[[#This Row],[Column2]]-Q$4)*$S$3*1000</f>
        <v>-7743.3268229166661</v>
      </c>
      <c r="E172" s="1">
        <f>IF(ABS(VALUE(teraterm[[#This Row],[Column1]]))&lt;4096,VALUE(teraterm[[#This Row],[Column1]]),0)</f>
        <v>3286</v>
      </c>
      <c r="F172" s="1">
        <f>teraterm[[#This Row],[V(V)]]^2</f>
        <v>680.1322723031044</v>
      </c>
    </row>
    <row r="173" spans="1:6" x14ac:dyDescent="0.25">
      <c r="A173" s="7">
        <v>3502</v>
      </c>
      <c r="B173" s="2">
        <v>-30692</v>
      </c>
      <c r="C173" s="1">
        <f>(teraterm[[#This Row],[Value(V)]]+$K$2)*$S$2</f>
        <v>45.775634765625</v>
      </c>
      <c r="D173" s="1">
        <f>(teraterm[[#This Row],[Column2]]-Q$4)*$S$3*1000</f>
        <v>-12488.606770833332</v>
      </c>
      <c r="E173" s="1">
        <f>IF(ABS(VALUE(teraterm[[#This Row],[Column1]]))&lt;4096,VALUE(teraterm[[#This Row],[Column1]]),0)</f>
        <v>3502</v>
      </c>
      <c r="F173" s="1">
        <f>teraterm[[#This Row],[V(V)]]^2</f>
        <v>2095.4087381958961</v>
      </c>
    </row>
    <row r="174" spans="1:6" x14ac:dyDescent="0.25">
      <c r="A174" s="7">
        <v>3691</v>
      </c>
      <c r="B174" s="2">
        <v>16086</v>
      </c>
      <c r="C174" s="1">
        <f>(teraterm[[#This Row],[Value(V)]]+$K$2)*$S$2</f>
        <v>63.0098876953125</v>
      </c>
      <c r="D174" s="1">
        <f>(teraterm[[#This Row],[Column2]]-Q$4)*$S$3*1000</f>
        <v>6545.4101562499991</v>
      </c>
      <c r="E174" s="1">
        <f>IF(ABS(VALUE(teraterm[[#This Row],[Column1]]))&lt;4096,VALUE(teraterm[[#This Row],[Column1]]),0)</f>
        <v>3691</v>
      </c>
      <c r="F174" s="1">
        <f>teraterm[[#This Row],[V(V)]]^2</f>
        <v>3970.2459473758936</v>
      </c>
    </row>
    <row r="175" spans="1:6" x14ac:dyDescent="0.25">
      <c r="A175" s="7">
        <v>3819</v>
      </c>
      <c r="B175" s="2">
        <v>-18409</v>
      </c>
      <c r="C175" s="1">
        <f>(teraterm[[#This Row],[Value(V)]]+$K$2)*$S$2</f>
        <v>74.6817626953125</v>
      </c>
      <c r="D175" s="1">
        <f>(teraterm[[#This Row],[Column2]]-Q$4)*$S$3*1000</f>
        <v>-7490.6412760416661</v>
      </c>
      <c r="E175" s="1">
        <f>IF(ABS(VALUE(teraterm[[#This Row],[Column1]]))&lt;4096,VALUE(teraterm[[#This Row],[Column1]]),0)</f>
        <v>3819</v>
      </c>
      <c r="F175" s="1">
        <f>teraterm[[#This Row],[V(V)]]^2</f>
        <v>5577.3656792789698</v>
      </c>
    </row>
    <row r="176" spans="1:6" x14ac:dyDescent="0.25">
      <c r="A176" s="7">
        <v>3952</v>
      </c>
      <c r="B176" s="2">
        <v>13785</v>
      </c>
      <c r="C176" s="1">
        <f>(teraterm[[#This Row],[Value(V)]]+$K$2)*$S$2</f>
        <v>86.8095703125</v>
      </c>
      <c r="D176" s="1">
        <f>(teraterm[[#This Row],[Column2]]-Q$4)*$S$3*1000</f>
        <v>5609.1308593749991</v>
      </c>
      <c r="E176" s="1">
        <f>IF(ABS(VALUE(teraterm[[#This Row],[Column1]]))&lt;4096,VALUE(teraterm[[#This Row],[Column1]]),0)</f>
        <v>3952</v>
      </c>
      <c r="F176" s="1">
        <f>teraterm[[#This Row],[V(V)]]^2</f>
        <v>7535.9014978408813</v>
      </c>
    </row>
    <row r="177" spans="1:6" x14ac:dyDescent="0.25">
      <c r="A177" s="7">
        <v>4015</v>
      </c>
      <c r="B177" s="2">
        <v>28004</v>
      </c>
      <c r="C177" s="1">
        <f>(teraterm[[#This Row],[Value(V)]]+$K$2)*$S$2</f>
        <v>92.5543212890625</v>
      </c>
      <c r="D177" s="1">
        <f>(teraterm[[#This Row],[Column2]]-Q$4)*$S$3*1000</f>
        <v>11394.856770833332</v>
      </c>
      <c r="E177" s="1">
        <f>IF(ABS(VALUE(teraterm[[#This Row],[Column1]]))&lt;4096,VALUE(teraterm[[#This Row],[Column1]]),0)</f>
        <v>4015</v>
      </c>
      <c r="F177" s="1">
        <f>teraterm[[#This Row],[V(V)]]^2</f>
        <v>8566.3023892790079</v>
      </c>
    </row>
    <row r="178" spans="1:6" x14ac:dyDescent="0.25">
      <c r="A178" s="7">
        <v>4045</v>
      </c>
      <c r="B178" s="2">
        <v>-31784</v>
      </c>
      <c r="C178" s="1">
        <f>(teraterm[[#This Row],[Value(V)]]+$K$2)*$S$2</f>
        <v>95.2899169921875</v>
      </c>
      <c r="D178" s="1">
        <f>(teraterm[[#This Row],[Column2]]-Q$4)*$S$3*1000</f>
        <v>-12932.942708333332</v>
      </c>
      <c r="E178" s="1">
        <f>IF(ABS(VALUE(teraterm[[#This Row],[Column1]]))&lt;4096,VALUE(teraterm[[#This Row],[Column1]]),0)</f>
        <v>4045</v>
      </c>
      <c r="F178" s="1">
        <f>teraterm[[#This Row],[V(V)]]^2</f>
        <v>9080.168280377984</v>
      </c>
    </row>
    <row r="179" spans="1:6" x14ac:dyDescent="0.25">
      <c r="A179" s="7">
        <v>4059</v>
      </c>
      <c r="B179" s="2">
        <v>-30138</v>
      </c>
      <c r="C179" s="1">
        <f>(teraterm[[#This Row],[Value(V)]]+$K$2)*$S$2</f>
        <v>96.5665283203125</v>
      </c>
      <c r="D179" s="1">
        <f>(teraterm[[#This Row],[Column2]]-Q$4)*$S$3*1000</f>
        <v>-12263.183593749998</v>
      </c>
      <c r="E179" s="1">
        <f>IF(ABS(VALUE(teraterm[[#This Row],[Column1]]))&lt;4096,VALUE(teraterm[[#This Row],[Column1]]),0)</f>
        <v>4059</v>
      </c>
      <c r="F179" s="1">
        <f>teraterm[[#This Row],[V(V)]]^2</f>
        <v>9325.0943918377161</v>
      </c>
    </row>
    <row r="180" spans="1:6" x14ac:dyDescent="0.25">
      <c r="A180" s="7">
        <v>4061</v>
      </c>
      <c r="B180" s="2">
        <v>-31559</v>
      </c>
      <c r="C180" s="1">
        <f>(teraterm[[#This Row],[Value(V)]]+$K$2)*$S$2</f>
        <v>96.7489013671875</v>
      </c>
      <c r="D180" s="1">
        <f>(teraterm[[#This Row],[Column2]]-Q$4)*$S$3*1000</f>
        <v>-12841.389973958332</v>
      </c>
      <c r="E180" s="1">
        <f>IF(ABS(VALUE(teraterm[[#This Row],[Column1]]))&lt;4096,VALUE(teraterm[[#This Row],[Column1]]),0)</f>
        <v>4061</v>
      </c>
      <c r="F180" s="1">
        <f>teraterm[[#This Row],[V(V)]]^2</f>
        <v>9360.3499157577753</v>
      </c>
    </row>
    <row r="181" spans="1:6" x14ac:dyDescent="0.25">
      <c r="A181" s="7">
        <v>4034</v>
      </c>
      <c r="B181" s="2">
        <v>25167</v>
      </c>
      <c r="C181" s="1">
        <f>(teraterm[[#This Row],[Value(V)]]+$K$2)*$S$2</f>
        <v>94.286865234375</v>
      </c>
      <c r="D181" s="1">
        <f>(teraterm[[#This Row],[Column2]]-Q$4)*$S$3*1000</f>
        <v>10240.478515624998</v>
      </c>
      <c r="E181" s="1">
        <f>IF(ABS(VALUE(teraterm[[#This Row],[Column1]]))&lt;4096,VALUE(teraterm[[#This Row],[Column1]]),0)</f>
        <v>4034</v>
      </c>
      <c r="F181" s="1">
        <f>teraterm[[#This Row],[V(V)]]^2</f>
        <v>8890.012955725193</v>
      </c>
    </row>
    <row r="182" spans="1:6" x14ac:dyDescent="0.25">
      <c r="A182" s="7">
        <v>3924</v>
      </c>
      <c r="B182" s="2">
        <v>-4774</v>
      </c>
      <c r="C182" s="1">
        <f>(teraterm[[#This Row],[Value(V)]]+$K$2)*$S$2</f>
        <v>84.25634765625</v>
      </c>
      <c r="D182" s="1">
        <f>(teraterm[[#This Row],[Column2]]-Q$4)*$S$3*1000</f>
        <v>-1942.5455729166665</v>
      </c>
      <c r="E182" s="1">
        <f>IF(ABS(VALUE(teraterm[[#This Row],[Column1]]))&lt;4096,VALUE(teraterm[[#This Row],[Column1]]),0)</f>
        <v>3924</v>
      </c>
      <c r="F182" s="1">
        <f>teraterm[[#This Row],[V(V)]]^2</f>
        <v>7099.1321203708649</v>
      </c>
    </row>
    <row r="183" spans="1:6" x14ac:dyDescent="0.25">
      <c r="A183" s="7">
        <v>3761</v>
      </c>
      <c r="B183" s="2">
        <v>17423</v>
      </c>
      <c r="C183" s="1">
        <f>(teraterm[[#This Row],[Value(V)]]+$K$2)*$S$2</f>
        <v>69.3929443359375</v>
      </c>
      <c r="D183" s="1">
        <f>(teraterm[[#This Row],[Column2]]-Q$4)*$S$3*1000</f>
        <v>7089.436848958333</v>
      </c>
      <c r="E183" s="1">
        <f>IF(ABS(VALUE(teraterm[[#This Row],[Column1]]))&lt;4096,VALUE(teraterm[[#This Row],[Column1]]),0)</f>
        <v>3761</v>
      </c>
      <c r="F183" s="1">
        <f>teraterm[[#This Row],[V(V)]]^2</f>
        <v>4815.3807236105204</v>
      </c>
    </row>
    <row r="184" spans="1:6" x14ac:dyDescent="0.25">
      <c r="A184" s="7">
        <v>3596</v>
      </c>
      <c r="B184" s="2">
        <v>-26257</v>
      </c>
      <c r="C184" s="1">
        <f>(teraterm[[#This Row],[Value(V)]]+$K$2)*$S$2</f>
        <v>54.34716796875</v>
      </c>
      <c r="D184" s="1">
        <f>(teraterm[[#This Row],[Column2]]-Q$4)*$S$3*1000</f>
        <v>-10684.000651041666</v>
      </c>
      <c r="E184" s="1">
        <f>IF(ABS(VALUE(teraterm[[#This Row],[Column1]]))&lt;4096,VALUE(teraterm[[#This Row],[Column1]]),0)</f>
        <v>3596</v>
      </c>
      <c r="F184" s="1">
        <f>teraterm[[#This Row],[V(V)]]^2</f>
        <v>2953.614666223526</v>
      </c>
    </row>
    <row r="185" spans="1:6" x14ac:dyDescent="0.25">
      <c r="A185" s="7">
        <v>3394</v>
      </c>
      <c r="B185" s="2">
        <v>-13665</v>
      </c>
      <c r="C185" s="1">
        <f>(teraterm[[#This Row],[Value(V)]]+$K$2)*$S$2</f>
        <v>35.927490234375</v>
      </c>
      <c r="D185" s="1">
        <f>(teraterm[[#This Row],[Column2]]-Q$4)*$S$3*1000</f>
        <v>-5560.3027343749991</v>
      </c>
      <c r="E185" s="1">
        <f>IF(ABS(VALUE(teraterm[[#This Row],[Column1]]))&lt;4096,VALUE(teraterm[[#This Row],[Column1]]),0)</f>
        <v>3394</v>
      </c>
      <c r="F185" s="1">
        <f>teraterm[[#This Row],[V(V)]]^2</f>
        <v>1290.784554541111</v>
      </c>
    </row>
    <row r="186" spans="1:6" x14ac:dyDescent="0.25">
      <c r="A186" s="7">
        <v>3137</v>
      </c>
      <c r="B186" s="2">
        <v>-14891</v>
      </c>
      <c r="C186" s="1">
        <f>(teraterm[[#This Row],[Value(V)]]+$K$2)*$S$2</f>
        <v>12.4925537109375</v>
      </c>
      <c r="D186" s="1">
        <f>(teraterm[[#This Row],[Column2]]-Q$4)*$S$3*1000</f>
        <v>-6059.163411458333</v>
      </c>
      <c r="E186" s="1">
        <f>IF(ABS(VALUE(teraterm[[#This Row],[Column1]]))&lt;4096,VALUE(teraterm[[#This Row],[Column1]]),0)</f>
        <v>3137</v>
      </c>
      <c r="F186" s="1">
        <f>teraterm[[#This Row],[V(V)]]^2</f>
        <v>156.0638982206583</v>
      </c>
    </row>
    <row r="187" spans="1:6" x14ac:dyDescent="0.25">
      <c r="A187" s="7">
        <v>2902</v>
      </c>
      <c r="B187" s="2">
        <v>-10246</v>
      </c>
      <c r="C187" s="1">
        <f>(teraterm[[#This Row],[Value(V)]]+$K$2)*$S$2</f>
        <v>-8.936279296875</v>
      </c>
      <c r="D187" s="1">
        <f>(teraterm[[#This Row],[Column2]]-Q$4)*$S$3*1000</f>
        <v>-4169.1080729166661</v>
      </c>
      <c r="E187" s="1">
        <f>IF(ABS(VALUE(teraterm[[#This Row],[Column1]]))&lt;4096,VALUE(teraterm[[#This Row],[Column1]]),0)</f>
        <v>2902</v>
      </c>
      <c r="F187" s="1">
        <f>teraterm[[#This Row],[V(V)]]^2</f>
        <v>79.857087671756744</v>
      </c>
    </row>
    <row r="188" spans="1:6" x14ac:dyDescent="0.25">
      <c r="A188" s="7">
        <v>2634</v>
      </c>
      <c r="B188" s="2">
        <v>-13778</v>
      </c>
      <c r="C188" s="1">
        <f>(teraterm[[#This Row],[Value(V)]]+$K$2)*$S$2</f>
        <v>-33.374267578125</v>
      </c>
      <c r="D188" s="1">
        <f>(teraterm[[#This Row],[Column2]]-Q$4)*$S$3*1000</f>
        <v>-5606.282552083333</v>
      </c>
      <c r="E188" s="1">
        <f>IF(ABS(VALUE(teraterm[[#This Row],[Column1]]))&lt;4096,VALUE(teraterm[[#This Row],[Column1]]),0)</f>
        <v>2634</v>
      </c>
      <c r="F188" s="1">
        <f>teraterm[[#This Row],[V(V)]]^2</f>
        <v>1113.8417363762856</v>
      </c>
    </row>
    <row r="189" spans="1:6" x14ac:dyDescent="0.25">
      <c r="A189" s="7">
        <v>2363</v>
      </c>
      <c r="B189" s="2">
        <v>-17806</v>
      </c>
      <c r="C189" s="1">
        <f>(teraterm[[#This Row],[Value(V)]]+$K$2)*$S$2</f>
        <v>-58.0858154296875</v>
      </c>
      <c r="D189" s="1">
        <f>(teraterm[[#This Row],[Column2]]-Q$4)*$S$3*1000</f>
        <v>-7245.2799479166661</v>
      </c>
      <c r="E189" s="1">
        <f>IF(ABS(VALUE(teraterm[[#This Row],[Column1]]))&lt;4096,VALUE(teraterm[[#This Row],[Column1]]),0)</f>
        <v>2363</v>
      </c>
      <c r="F189" s="1">
        <f>teraterm[[#This Row],[V(V)]]^2</f>
        <v>3373.9619541317225</v>
      </c>
    </row>
    <row r="190" spans="1:6" x14ac:dyDescent="0.25">
      <c r="A190" s="7">
        <v>2079</v>
      </c>
      <c r="B190" s="2">
        <v>-24877</v>
      </c>
      <c r="C190" s="1">
        <f>(teraterm[[#This Row],[Value(V)]]+$K$2)*$S$2</f>
        <v>-83.9827880859375</v>
      </c>
      <c r="D190" s="1">
        <f>(teraterm[[#This Row],[Column2]]-Q$4)*$S$3*1000</f>
        <v>-10122.477213541666</v>
      </c>
      <c r="E190" s="1">
        <f>IF(ABS(VALUE(teraterm[[#This Row],[Column1]]))&lt;4096,VALUE(teraterm[[#This Row],[Column1]]),0)</f>
        <v>2079</v>
      </c>
      <c r="F190" s="1">
        <f>teraterm[[#This Row],[V(V)]]^2</f>
        <v>7053.1086946874857</v>
      </c>
    </row>
    <row r="191" spans="1:6" x14ac:dyDescent="0.25">
      <c r="A191" s="7">
        <v>1801</v>
      </c>
      <c r="B191" s="2">
        <v>-30134</v>
      </c>
      <c r="C191" s="1">
        <f>(teraterm[[#This Row],[Value(V)]]+$K$2)*$S$2</f>
        <v>-109.3326416015625</v>
      </c>
      <c r="D191" s="1">
        <f>(teraterm[[#This Row],[Column2]]-Q$4)*$S$3*1000</f>
        <v>-12261.555989583332</v>
      </c>
      <c r="E191" s="1">
        <f>IF(ABS(VALUE(teraterm[[#This Row],[Column1]]))&lt;4096,VALUE(teraterm[[#This Row],[Column1]]),0)</f>
        <v>1801</v>
      </c>
      <c r="F191" s="1">
        <f>teraterm[[#This Row],[V(V)]]^2</f>
        <v>11953.626519575715</v>
      </c>
    </row>
    <row r="192" spans="1:6" x14ac:dyDescent="0.25">
      <c r="A192" s="7">
        <v>1540</v>
      </c>
      <c r="B192" s="2">
        <v>-30780</v>
      </c>
      <c r="C192" s="1">
        <f>(teraterm[[#This Row],[Value(V)]]+$K$2)*$S$2</f>
        <v>-133.13232421875</v>
      </c>
      <c r="D192" s="1">
        <f>(teraterm[[#This Row],[Column2]]-Q$4)*$S$3*1000</f>
        <v>-12524.414062499998</v>
      </c>
      <c r="E192" s="1">
        <f>IF(ABS(VALUE(teraterm[[#This Row],[Column1]]))&lt;4096,VALUE(teraterm[[#This Row],[Column1]]),0)</f>
        <v>1540</v>
      </c>
      <c r="F192" s="1">
        <f>teraterm[[#This Row],[V(V)]]^2</f>
        <v>17724.215751886368</v>
      </c>
    </row>
    <row r="193" spans="1:6" x14ac:dyDescent="0.25">
      <c r="A193" s="7">
        <v>1268</v>
      </c>
      <c r="B193" s="2">
        <v>31564</v>
      </c>
      <c r="C193" s="1">
        <f>(teraterm[[#This Row],[Value(V)]]+$K$2)*$S$2</f>
        <v>-157.93505859375</v>
      </c>
      <c r="D193" s="1">
        <f>(teraterm[[#This Row],[Column2]]-Q$4)*$S$3*1000</f>
        <v>12843.424479166666</v>
      </c>
      <c r="E193" s="1">
        <f>IF(ABS(VALUE(teraterm[[#This Row],[Column1]]))&lt;4096,VALUE(teraterm[[#This Row],[Column1]]),0)</f>
        <v>1268</v>
      </c>
      <c r="F193" s="1">
        <f>teraterm[[#This Row],[V(V)]]^2</f>
        <v>24943.482733011246</v>
      </c>
    </row>
    <row r="194" spans="1:6" x14ac:dyDescent="0.25">
      <c r="A194" s="7">
        <v>1029</v>
      </c>
      <c r="B194" s="2">
        <v>-28481</v>
      </c>
      <c r="C194" s="1">
        <f>(teraterm[[#This Row],[Value(V)]]+$K$2)*$S$2</f>
        <v>-179.7286376953125</v>
      </c>
      <c r="D194" s="1">
        <f>(teraterm[[#This Row],[Column2]]-Q$4)*$S$3*1000</f>
        <v>-11588.948567708332</v>
      </c>
      <c r="E194" s="1">
        <f>IF(ABS(VALUE(teraterm[[#This Row],[Column1]]))&lt;4096,VALUE(teraterm[[#This Row],[Column1]]),0)</f>
        <v>1029</v>
      </c>
      <c r="F194" s="1">
        <f>teraterm[[#This Row],[V(V)]]^2</f>
        <v>32302.383207812905</v>
      </c>
    </row>
    <row r="195" spans="1:6" x14ac:dyDescent="0.25">
      <c r="A195" s="7">
        <v>801</v>
      </c>
      <c r="B195" s="2">
        <v>-19950</v>
      </c>
      <c r="C195" s="1">
        <f>(teraterm[[#This Row],[Value(V)]]+$K$2)*$S$2</f>
        <v>-200.5191650390625</v>
      </c>
      <c r="D195" s="1">
        <f>(teraterm[[#This Row],[Column2]]-Q$4)*$S$3*1000</f>
        <v>-8117.67578125</v>
      </c>
      <c r="E195" s="1">
        <f>IF(ABS(VALUE(teraterm[[#This Row],[Column1]]))&lt;4096,VALUE(teraterm[[#This Row],[Column1]]),0)</f>
        <v>801</v>
      </c>
      <c r="F195" s="1">
        <f>teraterm[[#This Row],[V(V)]]^2</f>
        <v>40207.935547962785</v>
      </c>
    </row>
    <row r="196" spans="1:6" x14ac:dyDescent="0.25">
      <c r="A196" s="7">
        <v>570</v>
      </c>
      <c r="B196" s="2">
        <v>-11962</v>
      </c>
      <c r="C196" s="1">
        <f>(teraterm[[#This Row],[Value(V)]]+$K$2)*$S$2</f>
        <v>-221.583251953125</v>
      </c>
      <c r="D196" s="1">
        <f>(teraterm[[#This Row],[Column2]]-Q$4)*$S$3*1000</f>
        <v>-4867.3502604166661</v>
      </c>
      <c r="E196" s="1">
        <f>IF(ABS(VALUE(teraterm[[#This Row],[Column1]]))&lt;4096,VALUE(teraterm[[#This Row],[Column1]]),0)</f>
        <v>570</v>
      </c>
      <c r="F196" s="1">
        <f>teraterm[[#This Row],[V(V)]]^2</f>
        <v>49099.137546122074</v>
      </c>
    </row>
    <row r="197" spans="1:6" x14ac:dyDescent="0.25">
      <c r="A197" s="7">
        <v>429</v>
      </c>
      <c r="B197" s="2">
        <v>19201</v>
      </c>
      <c r="C197" s="1">
        <f>(teraterm[[#This Row],[Value(V)]]+$K$2)*$S$2</f>
        <v>-234.4405517578125</v>
      </c>
      <c r="D197" s="1">
        <f>(teraterm[[#This Row],[Column2]]-Q$4)*$S$3*1000</f>
        <v>7812.9069010416661</v>
      </c>
      <c r="E197" s="1">
        <f>IF(ABS(VALUE(teraterm[[#This Row],[Column1]]))&lt;4096,VALUE(teraterm[[#This Row],[Column1]]),0)</f>
        <v>429</v>
      </c>
      <c r="F197" s="1">
        <f>teraterm[[#This Row],[V(V)]]^2</f>
        <v>54962.372308507562</v>
      </c>
    </row>
    <row r="198" spans="1:6" x14ac:dyDescent="0.25">
      <c r="A198" s="7">
        <v>280</v>
      </c>
      <c r="B198" s="2">
        <v>-17078</v>
      </c>
      <c r="C198" s="1">
        <f>(teraterm[[#This Row],[Value(V)]]+$K$2)*$S$2</f>
        <v>-248.02734375</v>
      </c>
      <c r="D198" s="1">
        <f>(teraterm[[#This Row],[Column2]]-Q$4)*$S$3*1000</f>
        <v>-6949.055989583333</v>
      </c>
      <c r="E198" s="1">
        <f>IF(ABS(VALUE(teraterm[[#This Row],[Column1]]))&lt;4096,VALUE(teraterm[[#This Row],[Column1]]),0)</f>
        <v>280</v>
      </c>
      <c r="F198" s="1">
        <f>teraterm[[#This Row],[V(V)]]^2</f>
        <v>61517.563247680664</v>
      </c>
    </row>
    <row r="199" spans="1:6" x14ac:dyDescent="0.25">
      <c r="A199" s="7">
        <v>188</v>
      </c>
      <c r="B199" s="2">
        <v>26856</v>
      </c>
      <c r="C199" s="1">
        <f>(teraterm[[#This Row],[Value(V)]]+$K$2)*$S$2</f>
        <v>-256.41650390625</v>
      </c>
      <c r="D199" s="1">
        <f>(teraterm[[#This Row],[Column2]]-Q$4)*$S$3*1000</f>
        <v>10927.734374999998</v>
      </c>
      <c r="E199" s="1">
        <f>IF(ABS(VALUE(teraterm[[#This Row],[Column1]]))&lt;4096,VALUE(teraterm[[#This Row],[Column1]]),0)</f>
        <v>188</v>
      </c>
      <c r="F199" s="1">
        <f>teraterm[[#This Row],[V(V)]]^2</f>
        <v>65749.423475503922</v>
      </c>
    </row>
    <row r="200" spans="1:6" x14ac:dyDescent="0.25">
      <c r="A200" s="7">
        <v>151</v>
      </c>
      <c r="B200" s="2">
        <v>19364</v>
      </c>
      <c r="C200" s="1">
        <f>(teraterm[[#This Row],[Value(V)]]+$K$2)*$S$2</f>
        <v>-259.7904052734375</v>
      </c>
      <c r="D200" s="1">
        <f>(teraterm[[#This Row],[Column2]]-Q$4)*$S$3*1000</f>
        <v>7879.231770833333</v>
      </c>
      <c r="E200" s="1">
        <f>IF(ABS(VALUE(teraterm[[#This Row],[Column1]]))&lt;4096,VALUE(teraterm[[#This Row],[Column1]]),0)</f>
        <v>151</v>
      </c>
      <c r="F200" s="1">
        <f>teraterm[[#This Row],[V(V)]]^2</f>
        <v>67491.054672136903</v>
      </c>
    </row>
    <row r="201" spans="1:6" x14ac:dyDescent="0.25">
      <c r="A201" s="7">
        <v>137</v>
      </c>
      <c r="B201" s="2">
        <v>17766</v>
      </c>
      <c r="C201" s="1">
        <f>(teraterm[[#This Row],[Value(V)]]+$K$2)*$S$2</f>
        <v>-261.0670166015625</v>
      </c>
      <c r="D201" s="1">
        <f>(teraterm[[#This Row],[Column2]]-Q$4)*$S$3*1000</f>
        <v>7229.0039062499991</v>
      </c>
      <c r="E201" s="1">
        <f>IF(ABS(VALUE(teraterm[[#This Row],[Column1]]))&lt;4096,VALUE(teraterm[[#This Row],[Column1]]),0)</f>
        <v>137</v>
      </c>
      <c r="F201" s="1">
        <f>teraterm[[#This Row],[V(V)]]^2</f>
        <v>68155.98715724051</v>
      </c>
    </row>
    <row r="202" spans="1:6" x14ac:dyDescent="0.25">
      <c r="A202" s="7">
        <v>136</v>
      </c>
      <c r="B202" s="2">
        <v>19489</v>
      </c>
      <c r="C202" s="1">
        <f>(teraterm[[#This Row],[Value(V)]]+$K$2)*$S$2</f>
        <v>-261.158203125</v>
      </c>
      <c r="D202" s="1">
        <f>(teraterm[[#This Row],[Column2]]-Q$4)*$S$3*1000</f>
        <v>7930.0944010416661</v>
      </c>
      <c r="E202" s="1">
        <f>IF(ABS(VALUE(teraterm[[#This Row],[Column1]]))&lt;4096,VALUE(teraterm[[#This Row],[Column1]]),0)</f>
        <v>136</v>
      </c>
      <c r="F202" s="1">
        <f>teraterm[[#This Row],[V(V)]]^2</f>
        <v>68203.60705947876</v>
      </c>
    </row>
    <row r="203" spans="1:6" x14ac:dyDescent="0.25">
      <c r="A203" s="7">
        <v>155</v>
      </c>
      <c r="B203" s="2">
        <v>26305</v>
      </c>
      <c r="C203" s="1">
        <f>(teraterm[[#This Row],[Value(V)]]+$K$2)*$S$2</f>
        <v>-259.4256591796875</v>
      </c>
      <c r="D203" s="1">
        <f>(teraterm[[#This Row],[Column2]]-Q$4)*$S$3*1000</f>
        <v>10703.531901041666</v>
      </c>
      <c r="E203" s="1">
        <f>IF(ABS(VALUE(teraterm[[#This Row],[Column1]]))&lt;4096,VALUE(teraterm[[#This Row],[Column1]]),0)</f>
        <v>155</v>
      </c>
      <c r="F203" s="1">
        <f>teraterm[[#This Row],[V(V)]]^2</f>
        <v>67301.672640815377</v>
      </c>
    </row>
    <row r="204" spans="1:6" x14ac:dyDescent="0.25">
      <c r="A204" s="7">
        <v>243</v>
      </c>
      <c r="B204" s="2">
        <v>-14846</v>
      </c>
      <c r="C204" s="1">
        <f>(teraterm[[#This Row],[Value(V)]]+$K$2)*$S$2</f>
        <v>-251.4012451171875</v>
      </c>
      <c r="D204" s="1">
        <f>(teraterm[[#This Row],[Column2]]-Q$4)*$S$3*1000</f>
        <v>-6040.852864583333</v>
      </c>
      <c r="E204" s="1">
        <f>IF(ABS(VALUE(teraterm[[#This Row],[Column1]]))&lt;4096,VALUE(teraterm[[#This Row],[Column1]]),0)</f>
        <v>243</v>
      </c>
      <c r="F204" s="1">
        <f>teraterm[[#This Row],[V(V)]]^2</f>
        <v>63202.586046472192</v>
      </c>
    </row>
    <row r="205" spans="1:6" x14ac:dyDescent="0.25">
      <c r="A205" s="7">
        <v>419</v>
      </c>
      <c r="B205" s="2">
        <v>31883</v>
      </c>
      <c r="C205" s="1">
        <f>(teraterm[[#This Row],[Value(V)]]+$K$2)*$S$2</f>
        <v>-235.3524169921875</v>
      </c>
      <c r="D205" s="1">
        <f>(teraterm[[#This Row],[Column2]]-Q$4)*$S$3*1000</f>
        <v>12973.225911458332</v>
      </c>
      <c r="E205" s="1">
        <f>IF(ABS(VALUE(teraterm[[#This Row],[Column1]]))&lt;4096,VALUE(teraterm[[#This Row],[Column1]]),0)</f>
        <v>419</v>
      </c>
      <c r="F205" s="1">
        <f>teraterm[[#This Row],[V(V)]]^2</f>
        <v>55390.760184064507</v>
      </c>
    </row>
    <row r="206" spans="1:6" x14ac:dyDescent="0.25">
      <c r="A206" s="7">
        <v>593</v>
      </c>
      <c r="B206" s="2">
        <v>12384</v>
      </c>
      <c r="C206" s="1">
        <f>(teraterm[[#This Row],[Value(V)]]+$K$2)*$S$2</f>
        <v>-219.4859619140625</v>
      </c>
      <c r="D206" s="1">
        <f>(teraterm[[#This Row],[Column2]]-Q$4)*$S$3*1000</f>
        <v>5039.0624999999991</v>
      </c>
      <c r="E206" s="1">
        <f>IF(ABS(VALUE(teraterm[[#This Row],[Column1]]))&lt;4096,VALUE(teraterm[[#This Row],[Column1]]),0)</f>
        <v>593</v>
      </c>
      <c r="F206" s="1">
        <f>teraterm[[#This Row],[V(V)]]^2</f>
        <v>48174.087477341294</v>
      </c>
    </row>
    <row r="207" spans="1:6" x14ac:dyDescent="0.25">
      <c r="A207" s="7">
        <v>784</v>
      </c>
      <c r="B207" s="2">
        <v>-2960</v>
      </c>
      <c r="C207" s="1">
        <f>(teraterm[[#This Row],[Value(V)]]+$K$2)*$S$2</f>
        <v>-202.0693359375</v>
      </c>
      <c r="D207" s="1">
        <f>(teraterm[[#This Row],[Column2]]-Q$4)*$S$3*1000</f>
        <v>-1204.4270833333333</v>
      </c>
      <c r="E207" s="1">
        <f>IF(ABS(VALUE(teraterm[[#This Row],[Column1]]))&lt;4096,VALUE(teraterm[[#This Row],[Column1]]),0)</f>
        <v>784</v>
      </c>
      <c r="F207" s="1">
        <f>teraterm[[#This Row],[V(V)]]^2</f>
        <v>40832.016526222229</v>
      </c>
    </row>
    <row r="208" spans="1:6" x14ac:dyDescent="0.25">
      <c r="A208" s="7">
        <v>1052</v>
      </c>
      <c r="B208" s="2">
        <v>1135</v>
      </c>
      <c r="C208" s="1">
        <f>(teraterm[[#This Row],[Value(V)]]+$K$2)*$S$2</f>
        <v>-177.63134765625</v>
      </c>
      <c r="D208" s="1">
        <f>(teraterm[[#This Row],[Column2]]-Q$4)*$S$3*1000</f>
        <v>461.83268229166663</v>
      </c>
      <c r="E208" s="1">
        <f>IF(ABS(VALUE(teraterm[[#This Row],[Column1]]))&lt;4096,VALUE(teraterm[[#This Row],[Column1]]),0)</f>
        <v>1052</v>
      </c>
      <c r="F208" s="1">
        <f>teraterm[[#This Row],[V(V)]]^2</f>
        <v>31552.895670175552</v>
      </c>
    </row>
    <row r="209" spans="1:6" x14ac:dyDescent="0.25">
      <c r="A209" s="7">
        <v>1297</v>
      </c>
      <c r="B209" s="2">
        <v>-907</v>
      </c>
      <c r="C209" s="1">
        <f>(teraterm[[#This Row],[Value(V)]]+$K$2)*$S$2</f>
        <v>-155.2906494140625</v>
      </c>
      <c r="D209" s="1">
        <f>(teraterm[[#This Row],[Column2]]-Q$4)*$S$3*1000</f>
        <v>-369.05924479166663</v>
      </c>
      <c r="E209" s="1">
        <f>IF(ABS(VALUE(teraterm[[#This Row],[Column1]]))&lt;4096,VALUE(teraterm[[#This Row],[Column1]]),0)</f>
        <v>1297</v>
      </c>
      <c r="F209" s="1">
        <f>teraterm[[#This Row],[V(V)]]^2</f>
        <v>24115.18579544127</v>
      </c>
    </row>
    <row r="210" spans="1:6" x14ac:dyDescent="0.25">
      <c r="A210" s="7">
        <v>1554</v>
      </c>
      <c r="B210" s="2">
        <v>-137</v>
      </c>
      <c r="C210" s="1">
        <f>(teraterm[[#This Row],[Value(V)]]+$K$2)*$S$2</f>
        <v>-131.855712890625</v>
      </c>
      <c r="D210" s="1">
        <f>(teraterm[[#This Row],[Column2]]-Q$4)*$S$3*1000</f>
        <v>-55.745442708333329</v>
      </c>
      <c r="E210" s="1">
        <f>IF(ABS(VALUE(teraterm[[#This Row],[Column1]]))&lt;4096,VALUE(teraterm[[#This Row],[Column1]]),0)</f>
        <v>1554</v>
      </c>
      <c r="F210" s="1">
        <f>teraterm[[#This Row],[V(V)]]^2</f>
        <v>17385.929021894932</v>
      </c>
    </row>
    <row r="211" spans="1:6" x14ac:dyDescent="0.25">
      <c r="A211" s="7">
        <v>1830</v>
      </c>
      <c r="B211" s="2">
        <v>5219</v>
      </c>
      <c r="C211" s="1">
        <f>(teraterm[[#This Row],[Value(V)]]+$K$2)*$S$2</f>
        <v>-106.688232421875</v>
      </c>
      <c r="D211" s="1">
        <f>(teraterm[[#This Row],[Column2]]-Q$4)*$S$3*1000</f>
        <v>2123.616536458333</v>
      </c>
      <c r="E211" s="1">
        <f>IF(ABS(VALUE(teraterm[[#This Row],[Column1]]))&lt;4096,VALUE(teraterm[[#This Row],[Column1]]),0)</f>
        <v>1830</v>
      </c>
      <c r="F211" s="1">
        <f>teraterm[[#This Row],[V(V)]]^2</f>
        <v>11382.37893730402</v>
      </c>
    </row>
    <row r="212" spans="1:6" x14ac:dyDescent="0.25">
      <c r="A212" s="7">
        <v>2111</v>
      </c>
      <c r="B212" s="2">
        <v>11573</v>
      </c>
      <c r="C212" s="1">
        <f>(teraterm[[#This Row],[Value(V)]]+$K$2)*$S$2</f>
        <v>-81.0648193359375</v>
      </c>
      <c r="D212" s="1">
        <f>(teraterm[[#This Row],[Column2]]-Q$4)*$S$3*1000</f>
        <v>4709.065755208333</v>
      </c>
      <c r="E212" s="1">
        <f>IF(ABS(VALUE(teraterm[[#This Row],[Column1]]))&lt;4096,VALUE(teraterm[[#This Row],[Column1]]),0)</f>
        <v>2111</v>
      </c>
      <c r="F212" s="1">
        <f>teraterm[[#This Row],[V(V)]]^2</f>
        <v>6571.5049339681864</v>
      </c>
    </row>
    <row r="213" spans="1:6" x14ac:dyDescent="0.25">
      <c r="A213" s="7">
        <v>2392</v>
      </c>
      <c r="B213" s="2">
        <v>17646</v>
      </c>
      <c r="C213" s="1">
        <f>(teraterm[[#This Row],[Value(V)]]+$K$2)*$S$2</f>
        <v>-55.44140625</v>
      </c>
      <c r="D213" s="1">
        <f>(teraterm[[#This Row],[Column2]]-Q$4)*$S$3*1000</f>
        <v>7180.1757812499991</v>
      </c>
      <c r="E213" s="1">
        <f>IF(ABS(VALUE(teraterm[[#This Row],[Column1]]))&lt;4096,VALUE(teraterm[[#This Row],[Column1]]),0)</f>
        <v>2392</v>
      </c>
      <c r="F213" s="1">
        <f>teraterm[[#This Row],[V(V)]]^2</f>
        <v>3073.7495269775391</v>
      </c>
    </row>
    <row r="214" spans="1:6" x14ac:dyDescent="0.25">
      <c r="A214" s="7">
        <v>2642</v>
      </c>
      <c r="B214" s="2">
        <v>15535</v>
      </c>
      <c r="C214" s="1">
        <f>(teraterm[[#This Row],[Value(V)]]+$K$2)*$S$2</f>
        <v>-32.644775390625</v>
      </c>
      <c r="D214" s="1">
        <f>(teraterm[[#This Row],[Column2]]-Q$4)*$S$3*1000</f>
        <v>6321.2076822916661</v>
      </c>
      <c r="E214" s="1">
        <f>IF(ABS(VALUE(teraterm[[#This Row],[Column1]]))&lt;4096,VALUE(teraterm[[#This Row],[Column1]]),0)</f>
        <v>2642</v>
      </c>
      <c r="F214" s="1">
        <f>teraterm[[#This Row],[V(V)]]^2</f>
        <v>1065.6813603043556</v>
      </c>
    </row>
    <row r="215" spans="1:6" x14ac:dyDescent="0.25">
      <c r="A215" s="7">
        <v>2906</v>
      </c>
      <c r="B215" s="2">
        <v>16746</v>
      </c>
      <c r="C215" s="1">
        <f>(teraterm[[#This Row],[Value(V)]]+$K$2)*$S$2</f>
        <v>-8.571533203125</v>
      </c>
      <c r="D215" s="1">
        <f>(teraterm[[#This Row],[Column2]]-Q$4)*$S$3*1000</f>
        <v>6813.9648437499991</v>
      </c>
      <c r="E215" s="1">
        <f>IF(ABS(VALUE(teraterm[[#This Row],[Column1]]))&lt;4096,VALUE(teraterm[[#This Row],[Column1]]),0)</f>
        <v>2906</v>
      </c>
      <c r="F215" s="1">
        <f>teraterm[[#This Row],[V(V)]]^2</f>
        <v>73.471181452274323</v>
      </c>
    </row>
    <row r="216" spans="1:6" x14ac:dyDescent="0.25">
      <c r="A216" s="7">
        <v>3146</v>
      </c>
      <c r="B216" s="2">
        <v>11576</v>
      </c>
      <c r="C216" s="1">
        <f>(teraterm[[#This Row],[Value(V)]]+$K$2)*$S$2</f>
        <v>13.313232421875</v>
      </c>
      <c r="D216" s="1">
        <f>(teraterm[[#This Row],[Column2]]-Q$4)*$S$3*1000</f>
        <v>4710.286458333333</v>
      </c>
      <c r="E216" s="1">
        <f>IF(ABS(VALUE(teraterm[[#This Row],[Column1]]))&lt;4096,VALUE(teraterm[[#This Row],[Column1]]),0)</f>
        <v>3146</v>
      </c>
      <c r="F216" s="1">
        <f>teraterm[[#This Row],[V(V)]]^2</f>
        <v>177.24215751886368</v>
      </c>
    </row>
    <row r="217" spans="1:6" x14ac:dyDescent="0.25">
      <c r="A217" s="7">
        <v>3359</v>
      </c>
      <c r="B217" s="2">
        <v>-715</v>
      </c>
      <c r="C217" s="1">
        <f>(teraterm[[#This Row],[Value(V)]]+$K$2)*$S$2</f>
        <v>32.7359619140625</v>
      </c>
      <c r="D217" s="1">
        <f>(teraterm[[#This Row],[Column2]]-Q$4)*$S$3*1000</f>
        <v>-290.93424479166663</v>
      </c>
      <c r="E217" s="1">
        <f>IF(ABS(VALUE(teraterm[[#This Row],[Column1]]))&lt;4096,VALUE(teraterm[[#This Row],[Column1]]),0)</f>
        <v>3359</v>
      </c>
      <c r="F217" s="1">
        <f>teraterm[[#This Row],[V(V)]]^2</f>
        <v>1071.6432024389505</v>
      </c>
    </row>
    <row r="218" spans="1:6" x14ac:dyDescent="0.25">
      <c r="A218" s="7">
        <v>3586</v>
      </c>
      <c r="B218" s="2">
        <v>-9644</v>
      </c>
      <c r="C218" s="1">
        <f>(teraterm[[#This Row],[Value(V)]]+$K$2)*$S$2</f>
        <v>53.435302734375</v>
      </c>
      <c r="D218" s="1">
        <f>(teraterm[[#This Row],[Column2]]-Q$4)*$S$3*1000</f>
        <v>-3924.153645833333</v>
      </c>
      <c r="E218" s="1">
        <f>IF(ABS(VALUE(teraterm[[#This Row],[Column1]]))&lt;4096,VALUE(teraterm[[#This Row],[Column1]]),0)</f>
        <v>3586</v>
      </c>
      <c r="F218" s="1">
        <f>teraterm[[#This Row],[V(V)]]^2</f>
        <v>2855.3315783143044</v>
      </c>
    </row>
    <row r="219" spans="1:6" x14ac:dyDescent="0.25">
      <c r="A219" s="7">
        <v>3735</v>
      </c>
      <c r="B219" s="2">
        <v>26852</v>
      </c>
      <c r="C219" s="1">
        <f>(teraterm[[#This Row],[Value(V)]]+$K$2)*$S$2</f>
        <v>67.0220947265625</v>
      </c>
      <c r="D219" s="1">
        <f>(teraterm[[#This Row],[Column2]]-Q$4)*$S$3*1000</f>
        <v>10926.106770833332</v>
      </c>
      <c r="E219" s="1">
        <f>IF(ABS(VALUE(teraterm[[#This Row],[Column1]]))&lt;4096,VALUE(teraterm[[#This Row],[Column1]]),0)</f>
        <v>3735</v>
      </c>
      <c r="F219" s="1">
        <f>teraterm[[#This Row],[V(V)]]^2</f>
        <v>4491.9611815363169</v>
      </c>
    </row>
    <row r="220" spans="1:6" x14ac:dyDescent="0.25">
      <c r="A220" s="7">
        <v>3872</v>
      </c>
      <c r="B220" s="2">
        <v>-5390</v>
      </c>
      <c r="C220" s="1">
        <f>(teraterm[[#This Row],[Value(V)]]+$K$2)*$S$2</f>
        <v>79.5146484375</v>
      </c>
      <c r="D220" s="1">
        <f>(teraterm[[#This Row],[Column2]]-Q$4)*$S$3*1000</f>
        <v>-2193.196614583333</v>
      </c>
      <c r="E220" s="1">
        <f>IF(ABS(VALUE(teraterm[[#This Row],[Column1]]))&lt;4096,VALUE(teraterm[[#This Row],[Column1]]),0)</f>
        <v>3872</v>
      </c>
      <c r="F220" s="1">
        <f>teraterm[[#This Row],[V(V)]]^2</f>
        <v>6322.5793161392212</v>
      </c>
    </row>
    <row r="221" spans="1:6" x14ac:dyDescent="0.25">
      <c r="A221" s="7">
        <v>3982</v>
      </c>
      <c r="B221" s="2">
        <v>20889</v>
      </c>
      <c r="C221" s="1">
        <f>(teraterm[[#This Row],[Value(V)]]+$K$2)*$S$2</f>
        <v>89.545166015625</v>
      </c>
      <c r="D221" s="1">
        <f>(teraterm[[#This Row],[Column2]]-Q$4)*$S$3*1000</f>
        <v>8499.755859375</v>
      </c>
      <c r="E221" s="1">
        <f>IF(ABS(VALUE(teraterm[[#This Row],[Column1]]))&lt;4096,VALUE(teraterm[[#This Row],[Column1]]),0)</f>
        <v>3982</v>
      </c>
      <c r="F221" s="1">
        <f>teraterm[[#This Row],[V(V)]]^2</f>
        <v>8018.3367567658424</v>
      </c>
    </row>
    <row r="222" spans="1:6" x14ac:dyDescent="0.25">
      <c r="A222" s="7">
        <v>4028</v>
      </c>
      <c r="B222" s="2">
        <v>30745</v>
      </c>
      <c r="C222" s="1">
        <f>(teraterm[[#This Row],[Value(V)]]+$K$2)*$S$2</f>
        <v>93.73974609375</v>
      </c>
      <c r="D222" s="1">
        <f>(teraterm[[#This Row],[Column2]]-Q$4)*$S$3*1000</f>
        <v>12510.172526041666</v>
      </c>
      <c r="E222" s="1">
        <f>IF(ABS(VALUE(teraterm[[#This Row],[Column1]]))&lt;4096,VALUE(teraterm[[#This Row],[Column1]]),0)</f>
        <v>4028</v>
      </c>
      <c r="F222" s="1">
        <f>teraterm[[#This Row],[V(V)]]^2</f>
        <v>8787.1399977207184</v>
      </c>
    </row>
    <row r="223" spans="1:6" x14ac:dyDescent="0.25">
      <c r="A223" s="7">
        <v>4051</v>
      </c>
      <c r="B223" s="2">
        <v>-30839</v>
      </c>
      <c r="C223" s="1">
        <f>(teraterm[[#This Row],[Value(V)]]+$K$2)*$S$2</f>
        <v>95.8370361328125</v>
      </c>
      <c r="D223" s="1">
        <f>(teraterm[[#This Row],[Column2]]-Q$4)*$S$3*1000</f>
        <v>-12548.421223958332</v>
      </c>
      <c r="E223" s="1">
        <f>IF(ABS(VALUE(teraterm[[#This Row],[Column1]]))&lt;4096,VALUE(teraterm[[#This Row],[Column1]]),0)</f>
        <v>4051</v>
      </c>
      <c r="F223" s="1">
        <f>teraterm[[#This Row],[V(V)]]^2</f>
        <v>9184.7374947220087</v>
      </c>
    </row>
    <row r="224" spans="1:6" x14ac:dyDescent="0.25">
      <c r="A224" s="7">
        <v>4062</v>
      </c>
      <c r="B224" s="2">
        <v>-29962</v>
      </c>
      <c r="C224" s="1">
        <f>(teraterm[[#This Row],[Value(V)]]+$K$2)*$S$2</f>
        <v>96.840087890625</v>
      </c>
      <c r="D224" s="1">
        <f>(teraterm[[#This Row],[Column2]]-Q$4)*$S$3*1000</f>
        <v>-12191.569010416666</v>
      </c>
      <c r="E224" s="1">
        <f>IF(ABS(VALUE(teraterm[[#This Row],[Column1]]))&lt;4096,VALUE(teraterm[[#This Row],[Column1]]),0)</f>
        <v>4062</v>
      </c>
      <c r="F224" s="1">
        <f>teraterm[[#This Row],[V(V)]]^2</f>
        <v>9378.0026226639748</v>
      </c>
    </row>
    <row r="225" spans="1:6" x14ac:dyDescent="0.25">
      <c r="A225" s="7">
        <v>4057</v>
      </c>
      <c r="B225" s="2">
        <v>32368</v>
      </c>
      <c r="C225" s="1">
        <f>(teraterm[[#This Row],[Value(V)]]+$K$2)*$S$2</f>
        <v>96.3841552734375</v>
      </c>
      <c r="D225" s="1">
        <f>(teraterm[[#This Row],[Column2]]-Q$4)*$S$3*1000</f>
        <v>13170.572916666666</v>
      </c>
      <c r="E225" s="1">
        <f>IF(ABS(VALUE(teraterm[[#This Row],[Column1]]))&lt;4096,VALUE(teraterm[[#This Row],[Column1]]),0)</f>
        <v>4057</v>
      </c>
      <c r="F225" s="1">
        <f>teraterm[[#This Row],[V(V)]]^2</f>
        <v>9289.9053877741098</v>
      </c>
    </row>
    <row r="226" spans="1:6" x14ac:dyDescent="0.25">
      <c r="A226" s="7">
        <v>4003</v>
      </c>
      <c r="B226" s="2">
        <v>16679</v>
      </c>
      <c r="C226" s="1">
        <f>(teraterm[[#This Row],[Value(V)]]+$K$2)*$S$2</f>
        <v>91.4600830078125</v>
      </c>
      <c r="D226" s="1">
        <f>(teraterm[[#This Row],[Column2]]-Q$4)*$S$3*1000</f>
        <v>6786.702473958333</v>
      </c>
      <c r="E226" s="1">
        <f>IF(ABS(VALUE(teraterm[[#This Row],[Column1]]))&lt;4096,VALUE(teraterm[[#This Row],[Column1]]),0)</f>
        <v>4003</v>
      </c>
      <c r="F226" s="1">
        <f>teraterm[[#This Row],[V(V)]]^2</f>
        <v>8364.9467837959528</v>
      </c>
    </row>
    <row r="227" spans="1:6" x14ac:dyDescent="0.25">
      <c r="A227" s="7">
        <v>3865</v>
      </c>
      <c r="B227" s="2">
        <v>-20369</v>
      </c>
      <c r="C227" s="1">
        <f>(teraterm[[#This Row],[Value(V)]]+$K$2)*$S$2</f>
        <v>78.8763427734375</v>
      </c>
      <c r="D227" s="1">
        <f>(teraterm[[#This Row],[Column2]]-Q$4)*$S$3*1000</f>
        <v>-8288.1673177083321</v>
      </c>
      <c r="E227" s="1">
        <f>IF(ABS(VALUE(teraterm[[#This Row],[Column1]]))&lt;4096,VALUE(teraterm[[#This Row],[Column1]]),0)</f>
        <v>3865</v>
      </c>
      <c r="F227" s="1">
        <f>teraterm[[#This Row],[V(V)]]^2</f>
        <v>6221.4774493128061</v>
      </c>
    </row>
    <row r="228" spans="1:6" x14ac:dyDescent="0.25">
      <c r="A228" s="7">
        <v>3708</v>
      </c>
      <c r="B228" s="2">
        <v>3419</v>
      </c>
      <c r="C228" s="1">
        <f>(teraterm[[#This Row],[Value(V)]]+$K$2)*$S$2</f>
        <v>64.56005859375</v>
      </c>
      <c r="D228" s="1">
        <f>(teraterm[[#This Row],[Column2]]-Q$4)*$S$3*1000</f>
        <v>1391.1946614583333</v>
      </c>
      <c r="E228" s="1">
        <f>IF(ABS(VALUE(teraterm[[#This Row],[Column1]]))&lt;4096,VALUE(teraterm[[#This Row],[Column1]]),0)</f>
        <v>3708</v>
      </c>
      <c r="F228" s="1">
        <f>teraterm[[#This Row],[V(V)]]^2</f>
        <v>4168.0011656284332</v>
      </c>
    </row>
    <row r="229" spans="1:6" x14ac:dyDescent="0.25">
      <c r="A229" s="7">
        <v>3525</v>
      </c>
      <c r="B229" s="2">
        <v>20740</v>
      </c>
      <c r="C229" s="1">
        <f>(teraterm[[#This Row],[Value(V)]]+$K$2)*$S$2</f>
        <v>47.8729248046875</v>
      </c>
      <c r="D229" s="1">
        <f>(teraterm[[#This Row],[Column2]]-Q$4)*$S$3*1000</f>
        <v>8439.1276041666661</v>
      </c>
      <c r="E229" s="1">
        <f>IF(ABS(VALUE(teraterm[[#This Row],[Column1]]))&lt;4096,VALUE(teraterm[[#This Row],[Column1]]),0)</f>
        <v>3525</v>
      </c>
      <c r="F229" s="1">
        <f>teraterm[[#This Row],[V(V)]]^2</f>
        <v>2291.8169293552637</v>
      </c>
    </row>
    <row r="230" spans="1:6" x14ac:dyDescent="0.25">
      <c r="A230" s="7">
        <v>3305</v>
      </c>
      <c r="B230" s="2">
        <v>28814</v>
      </c>
      <c r="C230" s="1">
        <f>(teraterm[[#This Row],[Value(V)]]+$K$2)*$S$2</f>
        <v>27.8118896484375</v>
      </c>
      <c r="D230" s="1">
        <f>(teraterm[[#This Row],[Column2]]-Q$4)*$S$3*1000</f>
        <v>11724.446614583332</v>
      </c>
      <c r="E230" s="1">
        <f>IF(ABS(VALUE(teraterm[[#This Row],[Column1]]))&lt;4096,VALUE(teraterm[[#This Row],[Column1]]),0)</f>
        <v>3305</v>
      </c>
      <c r="F230" s="1">
        <f>teraterm[[#This Row],[V(V)]]^2</f>
        <v>773.50120581686497</v>
      </c>
    </row>
    <row r="231" spans="1:6" x14ac:dyDescent="0.25">
      <c r="A231" s="7">
        <v>3053</v>
      </c>
      <c r="B231" s="2">
        <v>28953</v>
      </c>
      <c r="C231" s="1">
        <f>(teraterm[[#This Row],[Value(V)]]+$K$2)*$S$2</f>
        <v>4.8328857421875</v>
      </c>
      <c r="D231" s="1">
        <f>(teraterm[[#This Row],[Column2]]-Q$4)*$S$3*1000</f>
        <v>11781.005859374998</v>
      </c>
      <c r="E231" s="1">
        <f>IF(ABS(VALUE(teraterm[[#This Row],[Column1]]))&lt;4096,VALUE(teraterm[[#This Row],[Column1]]),0)</f>
        <v>3053</v>
      </c>
      <c r="F231" s="1">
        <f>teraterm[[#This Row],[V(V)]]^2</f>
        <v>23.356784597039223</v>
      </c>
    </row>
    <row r="232" spans="1:6" x14ac:dyDescent="0.25">
      <c r="A232" s="7">
        <v>2814</v>
      </c>
      <c r="B232" s="2">
        <v>32662</v>
      </c>
      <c r="C232" s="1">
        <f>(teraterm[[#This Row],[Value(V)]]+$K$2)*$S$2</f>
        <v>-16.960693359375</v>
      </c>
      <c r="D232" s="1">
        <f>(teraterm[[#This Row],[Column2]]-Q$4)*$S$3*1000</f>
        <v>13290.201822916666</v>
      </c>
      <c r="E232" s="1">
        <f>IF(ABS(VALUE(teraterm[[#This Row],[Column1]]))&lt;4096,VALUE(teraterm[[#This Row],[Column1]]),0)</f>
        <v>2814</v>
      </c>
      <c r="F232" s="1">
        <f>teraterm[[#This Row],[V(V)]]^2</f>
        <v>287.66511923074722</v>
      </c>
    </row>
    <row r="233" spans="1:6" x14ac:dyDescent="0.25">
      <c r="A233" s="7">
        <v>2539</v>
      </c>
      <c r="B233" s="2">
        <v>27433</v>
      </c>
      <c r="C233" s="1">
        <f>(teraterm[[#This Row],[Value(V)]]+$K$2)*$S$2</f>
        <v>-42.0369873046875</v>
      </c>
      <c r="D233" s="1">
        <f>(teraterm[[#This Row],[Column2]]-Q$4)*$S$3*1000</f>
        <v>11162.516276041666</v>
      </c>
      <c r="E233" s="1">
        <f>IF(ABS(VALUE(teraterm[[#This Row],[Column1]]))&lt;4096,VALUE(teraterm[[#This Row],[Column1]]),0)</f>
        <v>2539</v>
      </c>
      <c r="F233" s="1">
        <f>teraterm[[#This Row],[V(V)]]^2</f>
        <v>1767.108301654458</v>
      </c>
    </row>
    <row r="234" spans="1:6" x14ac:dyDescent="0.25">
      <c r="A234" s="7">
        <v>2262</v>
      </c>
      <c r="B234" s="2">
        <v>21970</v>
      </c>
      <c r="C234" s="1">
        <f>(teraterm[[#This Row],[Value(V)]]+$K$2)*$S$2</f>
        <v>-67.295654296875</v>
      </c>
      <c r="D234" s="1">
        <f>(teraterm[[#This Row],[Column2]]-Q$4)*$S$3*1000</f>
        <v>8939.6158854166661</v>
      </c>
      <c r="E234" s="1">
        <f>IF(ABS(VALUE(teraterm[[#This Row],[Column1]]))&lt;4096,VALUE(teraterm[[#This Row],[Column1]]),0)</f>
        <v>2262</v>
      </c>
      <c r="F234" s="1">
        <f>teraterm[[#This Row],[V(V)]]^2</f>
        <v>4528.7050872445107</v>
      </c>
    </row>
    <row r="235" spans="1:6" x14ac:dyDescent="0.25">
      <c r="A235" s="7">
        <v>1975</v>
      </c>
      <c r="B235" s="2">
        <v>14235</v>
      </c>
      <c r="C235" s="1">
        <f>(teraterm[[#This Row],[Value(V)]]+$K$2)*$S$2</f>
        <v>-93.4661865234375</v>
      </c>
      <c r="D235" s="1">
        <f>(teraterm[[#This Row],[Column2]]-Q$4)*$S$3*1000</f>
        <v>5792.2363281249991</v>
      </c>
      <c r="E235" s="1">
        <f>IF(ABS(VALUE(teraterm[[#This Row],[Column1]]))&lt;4096,VALUE(teraterm[[#This Row],[Column1]]),0)</f>
        <v>1975</v>
      </c>
      <c r="F235" s="1">
        <f>teraterm[[#This Row],[V(V)]]^2</f>
        <v>8735.9280232340097</v>
      </c>
    </row>
    <row r="236" spans="1:6" x14ac:dyDescent="0.25">
      <c r="A236" s="7">
        <v>1709</v>
      </c>
      <c r="B236" s="2">
        <v>12141</v>
      </c>
      <c r="C236" s="1">
        <f>(teraterm[[#This Row],[Value(V)]]+$K$2)*$S$2</f>
        <v>-117.7218017578125</v>
      </c>
      <c r="D236" s="1">
        <f>(teraterm[[#This Row],[Column2]]-Q$4)*$S$3*1000</f>
        <v>4940.185546875</v>
      </c>
      <c r="E236" s="1">
        <f>IF(ABS(VALUE(teraterm[[#This Row],[Column1]]))&lt;4096,VALUE(teraterm[[#This Row],[Column1]]),0)</f>
        <v>1709</v>
      </c>
      <c r="F236" s="1">
        <f>teraterm[[#This Row],[V(V)]]^2</f>
        <v>13858.422609105706</v>
      </c>
    </row>
    <row r="237" spans="1:6" x14ac:dyDescent="0.25">
      <c r="A237" s="7">
        <v>1442</v>
      </c>
      <c r="B237" s="2">
        <v>10056</v>
      </c>
      <c r="C237" s="1">
        <f>(teraterm[[#This Row],[Value(V)]]+$K$2)*$S$2</f>
        <v>-142.068603515625</v>
      </c>
      <c r="D237" s="1">
        <f>(teraterm[[#This Row],[Column2]]-Q$4)*$S$3*1000</f>
        <v>4091.796875</v>
      </c>
      <c r="E237" s="1">
        <f>IF(ABS(VALUE(teraterm[[#This Row],[Column1]]))&lt;4096,VALUE(teraterm[[#This Row],[Column1]]),0)</f>
        <v>1442</v>
      </c>
      <c r="F237" s="1">
        <f>teraterm[[#This Row],[V(V)]]^2</f>
        <v>20183.488104879856</v>
      </c>
    </row>
    <row r="238" spans="1:6" x14ac:dyDescent="0.25">
      <c r="A238" s="7">
        <v>1178</v>
      </c>
      <c r="B238" s="2">
        <v>9000</v>
      </c>
      <c r="C238" s="1">
        <f>(teraterm[[#This Row],[Value(V)]]+$K$2)*$S$2</f>
        <v>-166.141845703125</v>
      </c>
      <c r="D238" s="1">
        <f>(teraterm[[#This Row],[Column2]]-Q$4)*$S$3*1000</f>
        <v>3662.1093749999995</v>
      </c>
      <c r="E238" s="1">
        <f>IF(ABS(VALUE(teraterm[[#This Row],[Column1]]))&lt;4096,VALUE(teraterm[[#This Row],[Column1]]),0)</f>
        <v>1178</v>
      </c>
      <c r="F238" s="1">
        <f>teraterm[[#This Row],[V(V)]]^2</f>
        <v>27603.112893640995</v>
      </c>
    </row>
    <row r="239" spans="1:6" x14ac:dyDescent="0.25">
      <c r="A239" s="7">
        <v>948</v>
      </c>
      <c r="B239" s="2">
        <v>16874</v>
      </c>
      <c r="C239" s="1">
        <f>(teraterm[[#This Row],[Value(V)]]+$K$2)*$S$2</f>
        <v>-187.11474609375</v>
      </c>
      <c r="D239" s="1">
        <f>(teraterm[[#This Row],[Column2]]-Q$4)*$S$3*1000</f>
        <v>6866.048177083333</v>
      </c>
      <c r="E239" s="1">
        <f>IF(ABS(VALUE(teraterm[[#This Row],[Column1]]))&lt;4096,VALUE(teraterm[[#This Row],[Column1]]),0)</f>
        <v>948</v>
      </c>
      <c r="F239" s="1">
        <f>teraterm[[#This Row],[V(V)]]^2</f>
        <v>35011.928205728531</v>
      </c>
    </row>
    <row r="240" spans="1:6" x14ac:dyDescent="0.25">
      <c r="A240" s="7">
        <v>717</v>
      </c>
      <c r="B240" s="2">
        <v>24719</v>
      </c>
      <c r="C240" s="1">
        <f>(teraterm[[#This Row],[Value(V)]]+$K$2)*$S$2</f>
        <v>-208.1788330078125</v>
      </c>
      <c r="D240" s="1">
        <f>(teraterm[[#This Row],[Column2]]-Q$4)*$S$3*1000</f>
        <v>10058.186848958332</v>
      </c>
      <c r="E240" s="1">
        <f>IF(ABS(VALUE(teraterm[[#This Row],[Column1]]))&lt;4096,VALUE(teraterm[[#This Row],[Column1]]),0)</f>
        <v>717</v>
      </c>
      <c r="F240" s="1">
        <f>teraterm[[#This Row],[V(V)]]^2</f>
        <v>43338.426512494683</v>
      </c>
    </row>
    <row r="241" spans="1:6" x14ac:dyDescent="0.25">
      <c r="A241" s="7">
        <v>518</v>
      </c>
      <c r="B241" s="2">
        <v>-24587</v>
      </c>
      <c r="C241" s="1">
        <f>(teraterm[[#This Row],[Value(V)]]+$K$2)*$S$2</f>
        <v>-226.324951171875</v>
      </c>
      <c r="D241" s="1">
        <f>(teraterm[[#This Row],[Column2]]-Q$4)*$S$3*1000</f>
        <v>-10004.475911458332</v>
      </c>
      <c r="E241" s="1">
        <f>IF(ABS(VALUE(teraterm[[#This Row],[Column1]]))&lt;4096,VALUE(teraterm[[#This Row],[Column1]]),0)</f>
        <v>518</v>
      </c>
      <c r="F241" s="1">
        <f>teraterm[[#This Row],[V(V)]]^2</f>
        <v>51222.983522951603</v>
      </c>
    </row>
    <row r="242" spans="1:6" x14ac:dyDescent="0.25">
      <c r="A242" s="7">
        <v>380</v>
      </c>
      <c r="B242" s="2">
        <v>7391</v>
      </c>
      <c r="C242" s="1">
        <f>(teraterm[[#This Row],[Value(V)]]+$K$2)*$S$2</f>
        <v>-238.90869140625</v>
      </c>
      <c r="D242" s="1">
        <f>(teraterm[[#This Row],[Column2]]-Q$4)*$S$3*1000</f>
        <v>3007.405598958333</v>
      </c>
      <c r="E242" s="1">
        <f>IF(ABS(VALUE(teraterm[[#This Row],[Column1]]))&lt;4096,VALUE(teraterm[[#This Row],[Column1]]),0)</f>
        <v>380</v>
      </c>
      <c r="F242" s="1">
        <f>teraterm[[#This Row],[V(V)]]^2</f>
        <v>57077.362829446793</v>
      </c>
    </row>
    <row r="243" spans="1:6" x14ac:dyDescent="0.25">
      <c r="A243" s="7">
        <v>238</v>
      </c>
      <c r="B243" s="2">
        <v>-27056</v>
      </c>
      <c r="C243" s="1">
        <f>(teraterm[[#This Row],[Value(V)]]+$K$2)*$S$2</f>
        <v>-251.857177734375</v>
      </c>
      <c r="D243" s="1">
        <f>(teraterm[[#This Row],[Column2]]-Q$4)*$S$3*1000</f>
        <v>-11009.114583333332</v>
      </c>
      <c r="E243" s="1">
        <f>IF(ABS(VALUE(teraterm[[#This Row],[Column1]]))&lt;4096,VALUE(teraterm[[#This Row],[Column1]]),0)</f>
        <v>238</v>
      </c>
      <c r="F243" s="1">
        <f>teraterm[[#This Row],[V(V)]]^2</f>
        <v>63432.037976324558</v>
      </c>
    </row>
    <row r="244" spans="1:6" x14ac:dyDescent="0.25">
      <c r="A244" s="7">
        <v>173</v>
      </c>
      <c r="B244" s="2">
        <v>23802</v>
      </c>
      <c r="C244" s="1">
        <f>(teraterm[[#This Row],[Value(V)]]+$K$2)*$S$2</f>
        <v>-257.7843017578125</v>
      </c>
      <c r="D244" s="1">
        <f>(teraterm[[#This Row],[Column2]]-Q$4)*$S$3*1000</f>
        <v>9685.05859375</v>
      </c>
      <c r="E244" s="1">
        <f>IF(ABS(VALUE(teraterm[[#This Row],[Column1]]))&lt;4096,VALUE(teraterm[[#This Row],[Column1]]),0)</f>
        <v>173</v>
      </c>
      <c r="F244" s="1">
        <f>teraterm[[#This Row],[V(V)]]^2</f>
        <v>66452.746232762933</v>
      </c>
    </row>
    <row r="245" spans="1:6" x14ac:dyDescent="0.25">
      <c r="A245" s="7">
        <v>145</v>
      </c>
      <c r="B245" s="2">
        <v>18617</v>
      </c>
      <c r="C245" s="1">
        <f>(teraterm[[#This Row],[Value(V)]]+$K$2)*$S$2</f>
        <v>-260.3375244140625</v>
      </c>
      <c r="D245" s="1">
        <f>(teraterm[[#This Row],[Column2]]-Q$4)*$S$3*1000</f>
        <v>7575.276692708333</v>
      </c>
      <c r="E245" s="1">
        <f>IF(ABS(VALUE(teraterm[[#This Row],[Column1]]))&lt;4096,VALUE(teraterm[[#This Row],[Column1]]),0)</f>
        <v>145</v>
      </c>
      <c r="F245" s="1">
        <f>teraterm[[#This Row],[V(V)]]^2</f>
        <v>67775.626618042588</v>
      </c>
    </row>
    <row r="246" spans="1:6" x14ac:dyDescent="0.25">
      <c r="A246" s="7">
        <v>135</v>
      </c>
      <c r="B246" s="2">
        <v>18042</v>
      </c>
      <c r="C246" s="1">
        <f>(teraterm[[#This Row],[Value(V)]]+$K$2)*$S$2</f>
        <v>-261.2493896484375</v>
      </c>
      <c r="D246" s="1">
        <f>(teraterm[[#This Row],[Column2]]-Q$4)*$S$3*1000</f>
        <v>7341.3085937499991</v>
      </c>
      <c r="E246" s="1">
        <f>IF(ABS(VALUE(teraterm[[#This Row],[Column1]]))&lt;4096,VALUE(teraterm[[#This Row],[Column1]]),0)</f>
        <v>135</v>
      </c>
      <c r="F246" s="1">
        <f>teraterm[[#This Row],[V(V)]]^2</f>
        <v>68251.243591681123</v>
      </c>
    </row>
    <row r="247" spans="1:6" x14ac:dyDescent="0.25">
      <c r="A247" s="7">
        <v>140</v>
      </c>
      <c r="B247" s="2">
        <v>21294</v>
      </c>
      <c r="C247" s="1">
        <f>(teraterm[[#This Row],[Value(V)]]+$K$2)*$S$2</f>
        <v>-260.79345703125</v>
      </c>
      <c r="D247" s="1">
        <f>(teraterm[[#This Row],[Column2]]-Q$4)*$S$3*1000</f>
        <v>8664.55078125</v>
      </c>
      <c r="E247" s="1">
        <f>IF(ABS(VALUE(teraterm[[#This Row],[Column1]]))&lt;4096,VALUE(teraterm[[#This Row],[Column1]]),0)</f>
        <v>140</v>
      </c>
      <c r="F247" s="1">
        <f>teraterm[[#This Row],[V(V)]]^2</f>
        <v>68013.22723031044</v>
      </c>
    </row>
    <row r="248" spans="1:6" x14ac:dyDescent="0.25">
      <c r="A248" s="7">
        <v>181</v>
      </c>
      <c r="B248" s="2">
        <v>-31823</v>
      </c>
      <c r="C248" s="1">
        <f>(teraterm[[#This Row],[Value(V)]]+$K$2)*$S$2</f>
        <v>-257.0548095703125</v>
      </c>
      <c r="D248" s="1">
        <f>(teraterm[[#This Row],[Column2]]-Q$4)*$S$3*1000</f>
        <v>-12948.811848958332</v>
      </c>
      <c r="E248" s="1">
        <f>IF(ABS(VALUE(teraterm[[#This Row],[Column1]]))&lt;4096,VALUE(teraterm[[#This Row],[Column1]]),0)</f>
        <v>181</v>
      </c>
      <c r="F248" s="1">
        <f>teraterm[[#This Row],[V(V)]]^2</f>
        <v>66077.175123229623</v>
      </c>
    </row>
    <row r="249" spans="1:6" x14ac:dyDescent="0.25">
      <c r="A249" s="7">
        <v>303</v>
      </c>
      <c r="B249" s="2">
        <v>1203</v>
      </c>
      <c r="C249" s="1">
        <f>(teraterm[[#This Row],[Value(V)]]+$K$2)*$S$2</f>
        <v>-245.9300537109375</v>
      </c>
      <c r="D249" s="1">
        <f>(teraterm[[#This Row],[Column2]]-Q$4)*$S$3*1000</f>
        <v>489.50195312499994</v>
      </c>
      <c r="E249" s="1">
        <f>IF(ABS(VALUE(teraterm[[#This Row],[Column1]]))&lt;4096,VALUE(teraterm[[#This Row],[Column1]]),0)</f>
        <v>303</v>
      </c>
      <c r="F249" s="1">
        <f>teraterm[[#This Row],[V(V)]]^2</f>
        <v>60481.591318264604</v>
      </c>
    </row>
    <row r="250" spans="1:6" x14ac:dyDescent="0.25">
      <c r="A250" s="7">
        <v>475</v>
      </c>
      <c r="B250" s="2">
        <v>-18686</v>
      </c>
      <c r="C250" s="1">
        <f>(teraterm[[#This Row],[Value(V)]]+$K$2)*$S$2</f>
        <v>-230.2459716796875</v>
      </c>
      <c r="D250" s="1">
        <f>(teraterm[[#This Row],[Column2]]-Q$4)*$S$3*1000</f>
        <v>-7603.352864583333</v>
      </c>
      <c r="E250" s="1">
        <f>IF(ABS(VALUE(teraterm[[#This Row],[Column1]]))&lt;4096,VALUE(teraterm[[#This Row],[Column1]]),0)</f>
        <v>475</v>
      </c>
      <c r="F250" s="1">
        <f>teraterm[[#This Row],[V(V)]]^2</f>
        <v>53013.207474723458</v>
      </c>
    </row>
    <row r="251" spans="1:6" x14ac:dyDescent="0.25">
      <c r="A251" s="7">
        <v>660</v>
      </c>
      <c r="B251" s="2">
        <v>30097</v>
      </c>
      <c r="C251" s="1">
        <f>(teraterm[[#This Row],[Value(V)]]+$K$2)*$S$2</f>
        <v>-213.37646484375</v>
      </c>
      <c r="D251" s="1">
        <f>(teraterm[[#This Row],[Column2]]-Q$4)*$S$3*1000</f>
        <v>12246.500651041666</v>
      </c>
      <c r="E251" s="1">
        <f>IF(ABS(VALUE(teraterm[[#This Row],[Column1]]))&lt;4096,VALUE(teraterm[[#This Row],[Column1]]),0)</f>
        <v>660</v>
      </c>
      <c r="F251" s="1">
        <f>teraterm[[#This Row],[V(V)]]^2</f>
        <v>45529.51574921608</v>
      </c>
    </row>
    <row r="252" spans="1:6" x14ac:dyDescent="0.25">
      <c r="A252" s="7">
        <v>874</v>
      </c>
      <c r="B252" s="2">
        <v>20549</v>
      </c>
      <c r="C252" s="1">
        <f>(teraterm[[#This Row],[Value(V)]]+$K$2)*$S$2</f>
        <v>-193.862548828125</v>
      </c>
      <c r="D252" s="1">
        <f>(teraterm[[#This Row],[Column2]]-Q$4)*$S$3*1000</f>
        <v>8361.4095052083321</v>
      </c>
      <c r="E252" s="1">
        <f>IF(ABS(VALUE(teraterm[[#This Row],[Column1]]))&lt;4096,VALUE(teraterm[[#This Row],[Column1]]),0)</f>
        <v>874</v>
      </c>
      <c r="F252" s="1">
        <f>teraterm[[#This Row],[V(V)]]^2</f>
        <v>37582.68783813715</v>
      </c>
    </row>
    <row r="253" spans="1:6" x14ac:dyDescent="0.25">
      <c r="A253" s="7">
        <v>1136</v>
      </c>
      <c r="B253" s="2">
        <v>23022</v>
      </c>
      <c r="C253" s="1">
        <f>(teraterm[[#This Row],[Value(V)]]+$K$2)*$S$2</f>
        <v>-169.9716796875</v>
      </c>
      <c r="D253" s="1">
        <f>(teraterm[[#This Row],[Column2]]-Q$4)*$S$3*1000</f>
        <v>9367.67578125</v>
      </c>
      <c r="E253" s="1">
        <f>IF(ABS(VALUE(teraterm[[#This Row],[Column1]]))&lt;4096,VALUE(teraterm[[#This Row],[Column1]]),0)</f>
        <v>1136</v>
      </c>
      <c r="F253" s="1">
        <f>teraterm[[#This Row],[V(V)]]^2</f>
        <v>28890.3718957901</v>
      </c>
    </row>
    <row r="254" spans="1:6" x14ac:dyDescent="0.25">
      <c r="A254" s="7">
        <v>1381</v>
      </c>
      <c r="B254" s="2">
        <v>20895</v>
      </c>
      <c r="C254" s="1">
        <f>(teraterm[[#This Row],[Value(V)]]+$K$2)*$S$2</f>
        <v>-147.6309814453125</v>
      </c>
      <c r="D254" s="1">
        <f>(teraterm[[#This Row],[Column2]]-Q$4)*$S$3*1000</f>
        <v>8502.197265625</v>
      </c>
      <c r="E254" s="1">
        <f>IF(ABS(VALUE(teraterm[[#This Row],[Column1]]))&lt;4096,VALUE(teraterm[[#This Row],[Column1]]),0)</f>
        <v>1381</v>
      </c>
      <c r="F254" s="1">
        <f>teraterm[[#This Row],[V(V)]]^2</f>
        <v>21794.906682506204</v>
      </c>
    </row>
    <row r="255" spans="1:6" x14ac:dyDescent="0.25">
      <c r="A255" s="7">
        <v>1654</v>
      </c>
      <c r="B255" s="2">
        <v>25660</v>
      </c>
      <c r="C255" s="1">
        <f>(teraterm[[#This Row],[Value(V)]]+$K$2)*$S$2</f>
        <v>-122.737060546875</v>
      </c>
      <c r="D255" s="1">
        <f>(teraterm[[#This Row],[Column2]]-Q$4)*$S$3*1000</f>
        <v>10441.080729166666</v>
      </c>
      <c r="E255" s="1">
        <f>IF(ABS(VALUE(teraterm[[#This Row],[Column1]]))&lt;4096,VALUE(teraterm[[#This Row],[Column1]]),0)</f>
        <v>1654</v>
      </c>
      <c r="F255" s="1">
        <f>teraterm[[#This Row],[V(V)]]^2</f>
        <v>15064.38603168726</v>
      </c>
    </row>
    <row r="256" spans="1:6" x14ac:dyDescent="0.25">
      <c r="A256" s="7">
        <v>1927</v>
      </c>
      <c r="B256" s="2">
        <v>30150</v>
      </c>
      <c r="C256" s="1">
        <f>(teraterm[[#This Row],[Value(V)]]+$K$2)*$S$2</f>
        <v>-97.8431396484375</v>
      </c>
      <c r="D256" s="1">
        <f>(teraterm[[#This Row],[Column2]]-Q$4)*$S$3*1000</f>
        <v>12268.066406249998</v>
      </c>
      <c r="E256" s="1">
        <f>IF(ABS(VALUE(teraterm[[#This Row],[Column1]]))&lt;4096,VALUE(teraterm[[#This Row],[Column1]]),0)</f>
        <v>1927</v>
      </c>
      <c r="F256" s="1">
        <f>teraterm[[#This Row],[V(V)]]^2</f>
        <v>9573.2799762636423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130795-CDB6-498B-AFDF-2B88169270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2017-12-08T23:56:31Z</dcterms:created>
  <dcterms:modified xsi:type="dcterms:W3CDTF">2018-01-03T17:41:01Z</dcterms:modified>
</cp:coreProperties>
</file>