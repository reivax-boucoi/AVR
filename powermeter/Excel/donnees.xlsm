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4FA51998-39E3-4156-9903-24D988C6EFAE}"/>
  </bookViews>
  <sheets>
    <sheet name="Sheet2" sheetId="2" r:id="rId1"/>
  </sheets>
  <definedNames>
    <definedName name="ExternalData_1" localSheetId="0" hidden="1">Sheet2!$A$1:$B$455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Q2" i="2" l="1"/>
  <c r="R2" i="2"/>
  <c r="Q3" i="2"/>
  <c r="R3" i="2"/>
  <c r="S3" i="2" l="1"/>
  <c r="S2" i="2"/>
  <c r="O2" i="2"/>
  <c r="M2" i="2"/>
  <c r="C455" i="2" l="1"/>
  <c r="F455" i="2" s="1"/>
  <c r="C451" i="2"/>
  <c r="F451" i="2" s="1"/>
  <c r="C447" i="2"/>
  <c r="F447" i="2" s="1"/>
  <c r="C443" i="2"/>
  <c r="F443" i="2" s="1"/>
  <c r="C439" i="2"/>
  <c r="F439" i="2" s="1"/>
  <c r="C435" i="2"/>
  <c r="F435" i="2" s="1"/>
  <c r="C431" i="2"/>
  <c r="F431" i="2" s="1"/>
  <c r="C427" i="2"/>
  <c r="F427" i="2" s="1"/>
  <c r="C423" i="2"/>
  <c r="F423" i="2" s="1"/>
  <c r="C419" i="2"/>
  <c r="F419" i="2" s="1"/>
  <c r="C415" i="2"/>
  <c r="F415" i="2" s="1"/>
  <c r="C411" i="2"/>
  <c r="F411" i="2" s="1"/>
  <c r="C407" i="2"/>
  <c r="F407" i="2" s="1"/>
  <c r="C403" i="2"/>
  <c r="F403" i="2" s="1"/>
  <c r="C399" i="2"/>
  <c r="F399" i="2" s="1"/>
  <c r="C395" i="2"/>
  <c r="F395" i="2" s="1"/>
  <c r="C391" i="2"/>
  <c r="F391" i="2" s="1"/>
  <c r="C387" i="2"/>
  <c r="F387" i="2" s="1"/>
  <c r="C383" i="2"/>
  <c r="F383" i="2" s="1"/>
  <c r="C379" i="2"/>
  <c r="F379" i="2" s="1"/>
  <c r="C375" i="2"/>
  <c r="F375" i="2" s="1"/>
  <c r="C371" i="2"/>
  <c r="F371" i="2" s="1"/>
  <c r="C367" i="2"/>
  <c r="F367" i="2" s="1"/>
  <c r="C363" i="2"/>
  <c r="F363" i="2" s="1"/>
  <c r="C359" i="2"/>
  <c r="F359" i="2" s="1"/>
  <c r="C355" i="2"/>
  <c r="F355" i="2" s="1"/>
  <c r="C351" i="2"/>
  <c r="F351" i="2" s="1"/>
  <c r="C347" i="2"/>
  <c r="F347" i="2" s="1"/>
  <c r="C343" i="2"/>
  <c r="F343" i="2" s="1"/>
  <c r="C339" i="2"/>
  <c r="F339" i="2" s="1"/>
  <c r="C335" i="2"/>
  <c r="F335" i="2" s="1"/>
  <c r="C331" i="2"/>
  <c r="F331" i="2" s="1"/>
  <c r="C327" i="2"/>
  <c r="F327" i="2" s="1"/>
  <c r="C323" i="2"/>
  <c r="F323" i="2" s="1"/>
  <c r="C319" i="2"/>
  <c r="F319" i="2" s="1"/>
  <c r="C315" i="2"/>
  <c r="F315" i="2" s="1"/>
  <c r="C311" i="2"/>
  <c r="F311" i="2" s="1"/>
  <c r="C307" i="2"/>
  <c r="F307" i="2" s="1"/>
  <c r="C303" i="2"/>
  <c r="F303" i="2" s="1"/>
  <c r="C299" i="2"/>
  <c r="F299" i="2" s="1"/>
  <c r="C295" i="2"/>
  <c r="F295" i="2" s="1"/>
  <c r="C291" i="2"/>
  <c r="F291" i="2" s="1"/>
  <c r="C287" i="2"/>
  <c r="F287" i="2" s="1"/>
  <c r="C283" i="2"/>
  <c r="F283" i="2" s="1"/>
  <c r="C279" i="2"/>
  <c r="F279" i="2" s="1"/>
  <c r="C275" i="2"/>
  <c r="F275" i="2" s="1"/>
  <c r="C271" i="2"/>
  <c r="F271" i="2" s="1"/>
  <c r="C267" i="2"/>
  <c r="F267" i="2" s="1"/>
  <c r="C263" i="2"/>
  <c r="F263" i="2" s="1"/>
  <c r="C259" i="2"/>
  <c r="F259" i="2" s="1"/>
  <c r="C255" i="2"/>
  <c r="F255" i="2" s="1"/>
  <c r="C251" i="2"/>
  <c r="F251" i="2" s="1"/>
  <c r="C247" i="2"/>
  <c r="F247" i="2" s="1"/>
  <c r="C243" i="2"/>
  <c r="F243" i="2" s="1"/>
  <c r="C239" i="2"/>
  <c r="F239" i="2" s="1"/>
  <c r="C235" i="2"/>
  <c r="F235" i="2" s="1"/>
  <c r="C231" i="2"/>
  <c r="F231" i="2" s="1"/>
  <c r="C227" i="2"/>
  <c r="F227" i="2" s="1"/>
  <c r="C223" i="2"/>
  <c r="F223" i="2" s="1"/>
  <c r="C219" i="2"/>
  <c r="F219" i="2" s="1"/>
  <c r="C215" i="2"/>
  <c r="F215" i="2" s="1"/>
  <c r="C211" i="2"/>
  <c r="F211" i="2" s="1"/>
  <c r="C207" i="2"/>
  <c r="F207" i="2" s="1"/>
  <c r="C454" i="2"/>
  <c r="F454" i="2" s="1"/>
  <c r="C450" i="2"/>
  <c r="F450" i="2" s="1"/>
  <c r="C446" i="2"/>
  <c r="F446" i="2" s="1"/>
  <c r="C442" i="2"/>
  <c r="F442" i="2" s="1"/>
  <c r="C438" i="2"/>
  <c r="F438" i="2" s="1"/>
  <c r="C434" i="2"/>
  <c r="F434" i="2" s="1"/>
  <c r="C430" i="2"/>
  <c r="F430" i="2" s="1"/>
  <c r="C426" i="2"/>
  <c r="F426" i="2" s="1"/>
  <c r="C422" i="2"/>
  <c r="F422" i="2" s="1"/>
  <c r="C418" i="2"/>
  <c r="F418" i="2" s="1"/>
  <c r="C414" i="2"/>
  <c r="F414" i="2" s="1"/>
  <c r="C410" i="2"/>
  <c r="F410" i="2" s="1"/>
  <c r="C406" i="2"/>
  <c r="F406" i="2" s="1"/>
  <c r="C402" i="2"/>
  <c r="F402" i="2" s="1"/>
  <c r="C398" i="2"/>
  <c r="F398" i="2" s="1"/>
  <c r="C394" i="2"/>
  <c r="F394" i="2" s="1"/>
  <c r="C390" i="2"/>
  <c r="F390" i="2" s="1"/>
  <c r="C386" i="2"/>
  <c r="F386" i="2" s="1"/>
  <c r="C382" i="2"/>
  <c r="F382" i="2" s="1"/>
  <c r="C378" i="2"/>
  <c r="F378" i="2" s="1"/>
  <c r="C374" i="2"/>
  <c r="F374" i="2" s="1"/>
  <c r="C370" i="2"/>
  <c r="F370" i="2" s="1"/>
  <c r="C366" i="2"/>
  <c r="F366" i="2" s="1"/>
  <c r="C362" i="2"/>
  <c r="F362" i="2" s="1"/>
  <c r="C358" i="2"/>
  <c r="F358" i="2" s="1"/>
  <c r="C354" i="2"/>
  <c r="F354" i="2" s="1"/>
  <c r="C350" i="2"/>
  <c r="F350" i="2" s="1"/>
  <c r="C346" i="2"/>
  <c r="F346" i="2" s="1"/>
  <c r="C342" i="2"/>
  <c r="F342" i="2" s="1"/>
  <c r="C338" i="2"/>
  <c r="F338" i="2" s="1"/>
  <c r="C334" i="2"/>
  <c r="F334" i="2" s="1"/>
  <c r="C330" i="2"/>
  <c r="F330" i="2" s="1"/>
  <c r="C326" i="2"/>
  <c r="F326" i="2" s="1"/>
  <c r="C322" i="2"/>
  <c r="F322" i="2" s="1"/>
  <c r="C318" i="2"/>
  <c r="F318" i="2" s="1"/>
  <c r="C314" i="2"/>
  <c r="F314" i="2" s="1"/>
  <c r="C310" i="2"/>
  <c r="F310" i="2" s="1"/>
  <c r="C306" i="2"/>
  <c r="F306" i="2" s="1"/>
  <c r="C302" i="2"/>
  <c r="F302" i="2" s="1"/>
  <c r="C298" i="2"/>
  <c r="F298" i="2" s="1"/>
  <c r="C294" i="2"/>
  <c r="F294" i="2" s="1"/>
  <c r="C290" i="2"/>
  <c r="F290" i="2" s="1"/>
  <c r="C286" i="2"/>
  <c r="F286" i="2" s="1"/>
  <c r="C282" i="2"/>
  <c r="F282" i="2" s="1"/>
  <c r="C278" i="2"/>
  <c r="F278" i="2" s="1"/>
  <c r="C274" i="2"/>
  <c r="F274" i="2" s="1"/>
  <c r="C270" i="2"/>
  <c r="F270" i="2" s="1"/>
  <c r="C266" i="2"/>
  <c r="F266" i="2" s="1"/>
  <c r="C262" i="2"/>
  <c r="F262" i="2" s="1"/>
  <c r="C258" i="2"/>
  <c r="F258" i="2" s="1"/>
  <c r="C254" i="2"/>
  <c r="F254" i="2" s="1"/>
  <c r="C250" i="2"/>
  <c r="F250" i="2" s="1"/>
  <c r="C246" i="2"/>
  <c r="F246" i="2" s="1"/>
  <c r="C242" i="2"/>
  <c r="F242" i="2" s="1"/>
  <c r="C238" i="2"/>
  <c r="F238" i="2" s="1"/>
  <c r="C234" i="2"/>
  <c r="F234" i="2" s="1"/>
  <c r="C230" i="2"/>
  <c r="F230" i="2" s="1"/>
  <c r="C226" i="2"/>
  <c r="F226" i="2" s="1"/>
  <c r="C222" i="2"/>
  <c r="F222" i="2" s="1"/>
  <c r="C218" i="2"/>
  <c r="F218" i="2" s="1"/>
  <c r="C214" i="2"/>
  <c r="F214" i="2" s="1"/>
  <c r="C210" i="2"/>
  <c r="F210" i="2" s="1"/>
  <c r="C206" i="2"/>
  <c r="F206" i="2" s="1"/>
  <c r="C202" i="2"/>
  <c r="F202" i="2" s="1"/>
  <c r="C198" i="2"/>
  <c r="F198" i="2" s="1"/>
  <c r="C194" i="2"/>
  <c r="F194" i="2" s="1"/>
  <c r="C190" i="2"/>
  <c r="F190" i="2" s="1"/>
  <c r="C186" i="2"/>
  <c r="F186" i="2" s="1"/>
  <c r="C182" i="2"/>
  <c r="F182" i="2" s="1"/>
  <c r="C178" i="2"/>
  <c r="F178" i="2" s="1"/>
  <c r="C174" i="2"/>
  <c r="F174" i="2" s="1"/>
  <c r="C170" i="2"/>
  <c r="F170" i="2" s="1"/>
  <c r="C166" i="2"/>
  <c r="F166" i="2" s="1"/>
  <c r="C162" i="2"/>
  <c r="F162" i="2" s="1"/>
  <c r="C158" i="2"/>
  <c r="F158" i="2" s="1"/>
  <c r="C154" i="2"/>
  <c r="F154" i="2" s="1"/>
  <c r="C150" i="2"/>
  <c r="F150" i="2" s="1"/>
  <c r="C146" i="2"/>
  <c r="F146" i="2" s="1"/>
  <c r="C142" i="2"/>
  <c r="F142" i="2" s="1"/>
  <c r="C138" i="2"/>
  <c r="F138" i="2" s="1"/>
  <c r="C134" i="2"/>
  <c r="F134" i="2" s="1"/>
  <c r="C130" i="2"/>
  <c r="F130" i="2" s="1"/>
  <c r="C126" i="2"/>
  <c r="F126" i="2" s="1"/>
  <c r="C122" i="2"/>
  <c r="F122" i="2" s="1"/>
  <c r="C118" i="2"/>
  <c r="F118" i="2" s="1"/>
  <c r="C114" i="2"/>
  <c r="F114" i="2" s="1"/>
  <c r="C110" i="2"/>
  <c r="F110" i="2" s="1"/>
  <c r="C106" i="2"/>
  <c r="F106" i="2" s="1"/>
  <c r="C102" i="2"/>
  <c r="F102" i="2" s="1"/>
  <c r="C98" i="2"/>
  <c r="F98" i="2" s="1"/>
  <c r="C94" i="2"/>
  <c r="F94" i="2" s="1"/>
  <c r="C90" i="2"/>
  <c r="F90" i="2" s="1"/>
  <c r="C86" i="2"/>
  <c r="F86" i="2" s="1"/>
  <c r="C82" i="2"/>
  <c r="F82" i="2" s="1"/>
  <c r="C78" i="2"/>
  <c r="F78" i="2" s="1"/>
  <c r="C74" i="2"/>
  <c r="F74" i="2" s="1"/>
  <c r="C70" i="2"/>
  <c r="F70" i="2" s="1"/>
  <c r="C66" i="2"/>
  <c r="F66" i="2" s="1"/>
  <c r="C62" i="2"/>
  <c r="F62" i="2" s="1"/>
  <c r="C58" i="2"/>
  <c r="F58" i="2" s="1"/>
  <c r="C54" i="2"/>
  <c r="F54" i="2" s="1"/>
  <c r="C50" i="2"/>
  <c r="F50" i="2" s="1"/>
  <c r="C46" i="2"/>
  <c r="F46" i="2" s="1"/>
  <c r="C42" i="2"/>
  <c r="F42" i="2" s="1"/>
  <c r="C38" i="2"/>
  <c r="F38" i="2" s="1"/>
  <c r="C34" i="2"/>
  <c r="F34" i="2" s="1"/>
  <c r="C30" i="2"/>
  <c r="F30" i="2" s="1"/>
  <c r="C26" i="2"/>
  <c r="F26" i="2" s="1"/>
  <c r="C22" i="2"/>
  <c r="F22" i="2" s="1"/>
  <c r="C18" i="2"/>
  <c r="F18" i="2" s="1"/>
  <c r="C14" i="2"/>
  <c r="F14" i="2" s="1"/>
  <c r="C10" i="2"/>
  <c r="F10" i="2" s="1"/>
  <c r="C6" i="2"/>
  <c r="F6" i="2" s="1"/>
  <c r="C2" i="2"/>
  <c r="F2" i="2" s="1"/>
  <c r="C201" i="2"/>
  <c r="F201" i="2" s="1"/>
  <c r="C197" i="2"/>
  <c r="F197" i="2" s="1"/>
  <c r="C193" i="2"/>
  <c r="F193" i="2" s="1"/>
  <c r="C189" i="2"/>
  <c r="F189" i="2" s="1"/>
  <c r="C185" i="2"/>
  <c r="F185" i="2" s="1"/>
  <c r="C181" i="2"/>
  <c r="F181" i="2" s="1"/>
  <c r="C177" i="2"/>
  <c r="F177" i="2" s="1"/>
  <c r="C173" i="2"/>
  <c r="F173" i="2" s="1"/>
  <c r="C169" i="2"/>
  <c r="F169" i="2" s="1"/>
  <c r="C165" i="2"/>
  <c r="F165" i="2" s="1"/>
  <c r="C161" i="2"/>
  <c r="F161" i="2" s="1"/>
  <c r="C157" i="2"/>
  <c r="F157" i="2" s="1"/>
  <c r="C153" i="2"/>
  <c r="F153" i="2" s="1"/>
  <c r="C149" i="2"/>
  <c r="F149" i="2" s="1"/>
  <c r="C145" i="2"/>
  <c r="F145" i="2" s="1"/>
  <c r="C141" i="2"/>
  <c r="F141" i="2" s="1"/>
  <c r="C137" i="2"/>
  <c r="F137" i="2" s="1"/>
  <c r="C133" i="2"/>
  <c r="F133" i="2" s="1"/>
  <c r="C129" i="2"/>
  <c r="F129" i="2" s="1"/>
  <c r="C125" i="2"/>
  <c r="F125" i="2" s="1"/>
  <c r="C121" i="2"/>
  <c r="F121" i="2" s="1"/>
  <c r="C117" i="2"/>
  <c r="F117" i="2" s="1"/>
  <c r="C113" i="2"/>
  <c r="F113" i="2" s="1"/>
  <c r="C109" i="2"/>
  <c r="F109" i="2" s="1"/>
  <c r="C105" i="2"/>
  <c r="F105" i="2" s="1"/>
  <c r="C101" i="2"/>
  <c r="F101" i="2" s="1"/>
  <c r="C97" i="2"/>
  <c r="F97" i="2" s="1"/>
  <c r="C93" i="2"/>
  <c r="F93" i="2" s="1"/>
  <c r="C89" i="2"/>
  <c r="F89" i="2" s="1"/>
  <c r="C85" i="2"/>
  <c r="F85" i="2" s="1"/>
  <c r="C81" i="2"/>
  <c r="F81" i="2" s="1"/>
  <c r="C77" i="2"/>
  <c r="F77" i="2" s="1"/>
  <c r="C73" i="2"/>
  <c r="F73" i="2" s="1"/>
  <c r="C69" i="2"/>
  <c r="F69" i="2" s="1"/>
  <c r="C65" i="2"/>
  <c r="F65" i="2" s="1"/>
  <c r="C61" i="2"/>
  <c r="F61" i="2" s="1"/>
  <c r="C57" i="2"/>
  <c r="F57" i="2" s="1"/>
  <c r="C53" i="2"/>
  <c r="F53" i="2" s="1"/>
  <c r="C49" i="2"/>
  <c r="F49" i="2" s="1"/>
  <c r="C45" i="2"/>
  <c r="F45" i="2" s="1"/>
  <c r="C41" i="2"/>
  <c r="F41" i="2" s="1"/>
  <c r="C37" i="2"/>
  <c r="F37" i="2" s="1"/>
  <c r="C33" i="2"/>
  <c r="F33" i="2" s="1"/>
  <c r="C29" i="2"/>
  <c r="F29" i="2" s="1"/>
  <c r="C25" i="2"/>
  <c r="F25" i="2" s="1"/>
  <c r="C21" i="2"/>
  <c r="F21" i="2" s="1"/>
  <c r="C17" i="2"/>
  <c r="F17" i="2" s="1"/>
  <c r="C13" i="2"/>
  <c r="F13" i="2" s="1"/>
  <c r="C5" i="2"/>
  <c r="F5" i="2" s="1"/>
  <c r="C453" i="2"/>
  <c r="F453" i="2" s="1"/>
  <c r="C449" i="2"/>
  <c r="F449" i="2" s="1"/>
  <c r="C445" i="2"/>
  <c r="F445" i="2" s="1"/>
  <c r="C441" i="2"/>
  <c r="F441" i="2" s="1"/>
  <c r="C437" i="2"/>
  <c r="F437" i="2" s="1"/>
  <c r="C433" i="2"/>
  <c r="F433" i="2" s="1"/>
  <c r="C429" i="2"/>
  <c r="F429" i="2" s="1"/>
  <c r="C425" i="2"/>
  <c r="F425" i="2" s="1"/>
  <c r="C421" i="2"/>
  <c r="F421" i="2" s="1"/>
  <c r="C417" i="2"/>
  <c r="F417" i="2" s="1"/>
  <c r="C413" i="2"/>
  <c r="F413" i="2" s="1"/>
  <c r="C409" i="2"/>
  <c r="F409" i="2" s="1"/>
  <c r="C405" i="2"/>
  <c r="F405" i="2" s="1"/>
  <c r="C401" i="2"/>
  <c r="F401" i="2" s="1"/>
  <c r="C397" i="2"/>
  <c r="F397" i="2" s="1"/>
  <c r="C393" i="2"/>
  <c r="F393" i="2" s="1"/>
  <c r="C389" i="2"/>
  <c r="F389" i="2" s="1"/>
  <c r="C385" i="2"/>
  <c r="F385" i="2" s="1"/>
  <c r="C381" i="2"/>
  <c r="F381" i="2" s="1"/>
  <c r="C377" i="2"/>
  <c r="F377" i="2" s="1"/>
  <c r="C373" i="2"/>
  <c r="F373" i="2" s="1"/>
  <c r="C369" i="2"/>
  <c r="F369" i="2" s="1"/>
  <c r="C365" i="2"/>
  <c r="F365" i="2" s="1"/>
  <c r="C361" i="2"/>
  <c r="F361" i="2" s="1"/>
  <c r="C357" i="2"/>
  <c r="F357" i="2" s="1"/>
  <c r="C353" i="2"/>
  <c r="F353" i="2" s="1"/>
  <c r="C349" i="2"/>
  <c r="F349" i="2" s="1"/>
  <c r="C345" i="2"/>
  <c r="F345" i="2" s="1"/>
  <c r="C341" i="2"/>
  <c r="F341" i="2" s="1"/>
  <c r="C337" i="2"/>
  <c r="F337" i="2" s="1"/>
  <c r="C333" i="2"/>
  <c r="F333" i="2" s="1"/>
  <c r="C329" i="2"/>
  <c r="F329" i="2" s="1"/>
  <c r="C325" i="2"/>
  <c r="F325" i="2" s="1"/>
  <c r="C321" i="2"/>
  <c r="F321" i="2" s="1"/>
  <c r="C317" i="2"/>
  <c r="F317" i="2" s="1"/>
  <c r="C313" i="2"/>
  <c r="F313" i="2" s="1"/>
  <c r="C309" i="2"/>
  <c r="F309" i="2" s="1"/>
  <c r="C305" i="2"/>
  <c r="F305" i="2" s="1"/>
  <c r="C301" i="2"/>
  <c r="F301" i="2" s="1"/>
  <c r="C297" i="2"/>
  <c r="F297" i="2" s="1"/>
  <c r="C293" i="2"/>
  <c r="F293" i="2" s="1"/>
  <c r="C289" i="2"/>
  <c r="F289" i="2" s="1"/>
  <c r="C285" i="2"/>
  <c r="F285" i="2" s="1"/>
  <c r="C281" i="2"/>
  <c r="F281" i="2" s="1"/>
  <c r="C277" i="2"/>
  <c r="F277" i="2" s="1"/>
  <c r="C273" i="2"/>
  <c r="F273" i="2" s="1"/>
  <c r="C269" i="2"/>
  <c r="F269" i="2" s="1"/>
  <c r="C265" i="2"/>
  <c r="F265" i="2" s="1"/>
  <c r="C261" i="2"/>
  <c r="F261" i="2" s="1"/>
  <c r="C257" i="2"/>
  <c r="F257" i="2" s="1"/>
  <c r="C253" i="2"/>
  <c r="F253" i="2" s="1"/>
  <c r="C249" i="2"/>
  <c r="F249" i="2" s="1"/>
  <c r="C245" i="2"/>
  <c r="F245" i="2" s="1"/>
  <c r="C241" i="2"/>
  <c r="F241" i="2" s="1"/>
  <c r="C237" i="2"/>
  <c r="F237" i="2" s="1"/>
  <c r="C233" i="2"/>
  <c r="F233" i="2" s="1"/>
  <c r="C229" i="2"/>
  <c r="F229" i="2" s="1"/>
  <c r="C225" i="2"/>
  <c r="F225" i="2" s="1"/>
  <c r="C221" i="2"/>
  <c r="F221" i="2" s="1"/>
  <c r="C217" i="2"/>
  <c r="F217" i="2" s="1"/>
  <c r="C213" i="2"/>
  <c r="F213" i="2" s="1"/>
  <c r="C209" i="2"/>
  <c r="F209" i="2" s="1"/>
  <c r="C205" i="2"/>
  <c r="F205" i="2" s="1"/>
  <c r="C452" i="2"/>
  <c r="F452" i="2" s="1"/>
  <c r="C448" i="2"/>
  <c r="F448" i="2" s="1"/>
  <c r="C444" i="2"/>
  <c r="F444" i="2" s="1"/>
  <c r="C440" i="2"/>
  <c r="F440" i="2" s="1"/>
  <c r="C436" i="2"/>
  <c r="F436" i="2" s="1"/>
  <c r="C432" i="2"/>
  <c r="F432" i="2" s="1"/>
  <c r="C428" i="2"/>
  <c r="F428" i="2" s="1"/>
  <c r="C424" i="2"/>
  <c r="F424" i="2" s="1"/>
  <c r="C420" i="2"/>
  <c r="F420" i="2" s="1"/>
  <c r="C416" i="2"/>
  <c r="F416" i="2" s="1"/>
  <c r="C412" i="2"/>
  <c r="F412" i="2" s="1"/>
  <c r="C408" i="2"/>
  <c r="F408" i="2" s="1"/>
  <c r="C404" i="2"/>
  <c r="F404" i="2" s="1"/>
  <c r="C400" i="2"/>
  <c r="F400" i="2" s="1"/>
  <c r="C396" i="2"/>
  <c r="F396" i="2" s="1"/>
  <c r="C392" i="2"/>
  <c r="F392" i="2" s="1"/>
  <c r="C388" i="2"/>
  <c r="F388" i="2" s="1"/>
  <c r="C384" i="2"/>
  <c r="F384" i="2" s="1"/>
  <c r="C380" i="2"/>
  <c r="F380" i="2" s="1"/>
  <c r="C376" i="2"/>
  <c r="F376" i="2" s="1"/>
  <c r="C372" i="2"/>
  <c r="F372" i="2" s="1"/>
  <c r="C368" i="2"/>
  <c r="F368" i="2" s="1"/>
  <c r="C364" i="2"/>
  <c r="F364" i="2" s="1"/>
  <c r="C360" i="2"/>
  <c r="F360" i="2" s="1"/>
  <c r="C356" i="2"/>
  <c r="F356" i="2" s="1"/>
  <c r="C352" i="2"/>
  <c r="F352" i="2" s="1"/>
  <c r="C348" i="2"/>
  <c r="F348" i="2" s="1"/>
  <c r="C344" i="2"/>
  <c r="F344" i="2" s="1"/>
  <c r="C340" i="2"/>
  <c r="F340" i="2" s="1"/>
  <c r="C336" i="2"/>
  <c r="F336" i="2" s="1"/>
  <c r="C332" i="2"/>
  <c r="F332" i="2" s="1"/>
  <c r="C328" i="2"/>
  <c r="F328" i="2" s="1"/>
  <c r="C324" i="2"/>
  <c r="F324" i="2" s="1"/>
  <c r="C320" i="2"/>
  <c r="F320" i="2" s="1"/>
  <c r="C316" i="2"/>
  <c r="F316" i="2" s="1"/>
  <c r="C312" i="2"/>
  <c r="F312" i="2" s="1"/>
  <c r="C308" i="2"/>
  <c r="F308" i="2" s="1"/>
  <c r="C304" i="2"/>
  <c r="F304" i="2" s="1"/>
  <c r="C300" i="2"/>
  <c r="F300" i="2" s="1"/>
  <c r="C296" i="2"/>
  <c r="F296" i="2" s="1"/>
  <c r="C292" i="2"/>
  <c r="F292" i="2" s="1"/>
  <c r="C288" i="2"/>
  <c r="F288" i="2" s="1"/>
  <c r="C284" i="2"/>
  <c r="F284" i="2" s="1"/>
  <c r="C280" i="2"/>
  <c r="F280" i="2" s="1"/>
  <c r="C276" i="2"/>
  <c r="F276" i="2" s="1"/>
  <c r="C272" i="2"/>
  <c r="F272" i="2" s="1"/>
  <c r="C268" i="2"/>
  <c r="F268" i="2" s="1"/>
  <c r="C264" i="2"/>
  <c r="F264" i="2" s="1"/>
  <c r="C260" i="2"/>
  <c r="F260" i="2" s="1"/>
  <c r="C256" i="2"/>
  <c r="F256" i="2" s="1"/>
  <c r="C252" i="2"/>
  <c r="F252" i="2" s="1"/>
  <c r="C248" i="2"/>
  <c r="F248" i="2" s="1"/>
  <c r="C244" i="2"/>
  <c r="F244" i="2" s="1"/>
  <c r="C240" i="2"/>
  <c r="F240" i="2" s="1"/>
  <c r="C236" i="2"/>
  <c r="F236" i="2" s="1"/>
  <c r="C232" i="2"/>
  <c r="F232" i="2" s="1"/>
  <c r="C228" i="2"/>
  <c r="F228" i="2" s="1"/>
  <c r="C224" i="2"/>
  <c r="F224" i="2" s="1"/>
  <c r="C220" i="2"/>
  <c r="F220" i="2" s="1"/>
  <c r="C216" i="2"/>
  <c r="F216" i="2" s="1"/>
  <c r="C212" i="2"/>
  <c r="F212" i="2" s="1"/>
  <c r="C208" i="2"/>
  <c r="F208" i="2" s="1"/>
  <c r="C204" i="2"/>
  <c r="F204" i="2" s="1"/>
  <c r="C200" i="2"/>
  <c r="F200" i="2" s="1"/>
  <c r="C196" i="2"/>
  <c r="F196" i="2" s="1"/>
  <c r="C192" i="2"/>
  <c r="F192" i="2" s="1"/>
  <c r="C188" i="2"/>
  <c r="F188" i="2" s="1"/>
  <c r="C184" i="2"/>
  <c r="F184" i="2" s="1"/>
  <c r="C180" i="2"/>
  <c r="F180" i="2" s="1"/>
  <c r="C176" i="2"/>
  <c r="F176" i="2" s="1"/>
  <c r="C172" i="2"/>
  <c r="F172" i="2" s="1"/>
  <c r="C168" i="2"/>
  <c r="F168" i="2" s="1"/>
  <c r="C164" i="2"/>
  <c r="F164" i="2" s="1"/>
  <c r="C160" i="2"/>
  <c r="F160" i="2" s="1"/>
  <c r="C156" i="2"/>
  <c r="F156" i="2" s="1"/>
  <c r="C152" i="2"/>
  <c r="F152" i="2" s="1"/>
  <c r="C148" i="2"/>
  <c r="F148" i="2" s="1"/>
  <c r="C144" i="2"/>
  <c r="F144" i="2" s="1"/>
  <c r="C140" i="2"/>
  <c r="F140" i="2" s="1"/>
  <c r="C136" i="2"/>
  <c r="F136" i="2" s="1"/>
  <c r="C132" i="2"/>
  <c r="F132" i="2" s="1"/>
  <c r="C128" i="2"/>
  <c r="F128" i="2" s="1"/>
  <c r="C124" i="2"/>
  <c r="F124" i="2" s="1"/>
  <c r="C120" i="2"/>
  <c r="F120" i="2" s="1"/>
  <c r="C116" i="2"/>
  <c r="F116" i="2" s="1"/>
  <c r="C112" i="2"/>
  <c r="F112" i="2" s="1"/>
  <c r="C108" i="2"/>
  <c r="F108" i="2" s="1"/>
  <c r="C104" i="2"/>
  <c r="F104" i="2" s="1"/>
  <c r="C100" i="2"/>
  <c r="F100" i="2" s="1"/>
  <c r="C96" i="2"/>
  <c r="F96" i="2" s="1"/>
  <c r="C92" i="2"/>
  <c r="F92" i="2" s="1"/>
  <c r="C88" i="2"/>
  <c r="F88" i="2" s="1"/>
  <c r="C84" i="2"/>
  <c r="F84" i="2" s="1"/>
  <c r="C80" i="2"/>
  <c r="F80" i="2" s="1"/>
  <c r="C76" i="2"/>
  <c r="F76" i="2" s="1"/>
  <c r="C72" i="2"/>
  <c r="F72" i="2" s="1"/>
  <c r="C68" i="2"/>
  <c r="F68" i="2" s="1"/>
  <c r="C64" i="2"/>
  <c r="F64" i="2" s="1"/>
  <c r="C60" i="2"/>
  <c r="F60" i="2" s="1"/>
  <c r="C56" i="2"/>
  <c r="F56" i="2" s="1"/>
  <c r="C52" i="2"/>
  <c r="F52" i="2" s="1"/>
  <c r="C48" i="2"/>
  <c r="F48" i="2" s="1"/>
  <c r="C44" i="2"/>
  <c r="F44" i="2" s="1"/>
  <c r="C40" i="2"/>
  <c r="F40" i="2" s="1"/>
  <c r="C36" i="2"/>
  <c r="F36" i="2" s="1"/>
  <c r="C32" i="2"/>
  <c r="F32" i="2" s="1"/>
  <c r="C28" i="2"/>
  <c r="F28" i="2" s="1"/>
  <c r="C24" i="2"/>
  <c r="F24" i="2" s="1"/>
  <c r="C20" i="2"/>
  <c r="F20" i="2" s="1"/>
  <c r="C16" i="2"/>
  <c r="F16" i="2" s="1"/>
  <c r="C12" i="2"/>
  <c r="F12" i="2" s="1"/>
  <c r="C8" i="2"/>
  <c r="F8" i="2" s="1"/>
  <c r="C4" i="2"/>
  <c r="F4" i="2" s="1"/>
  <c r="C203" i="2"/>
  <c r="F203" i="2" s="1"/>
  <c r="C199" i="2"/>
  <c r="F199" i="2" s="1"/>
  <c r="C195" i="2"/>
  <c r="F195" i="2" s="1"/>
  <c r="C191" i="2"/>
  <c r="F191" i="2" s="1"/>
  <c r="C187" i="2"/>
  <c r="F187" i="2" s="1"/>
  <c r="C183" i="2"/>
  <c r="F183" i="2" s="1"/>
  <c r="C179" i="2"/>
  <c r="F179" i="2" s="1"/>
  <c r="C175" i="2"/>
  <c r="F175" i="2" s="1"/>
  <c r="C171" i="2"/>
  <c r="F171" i="2" s="1"/>
  <c r="C167" i="2"/>
  <c r="F167" i="2" s="1"/>
  <c r="C163" i="2"/>
  <c r="F163" i="2" s="1"/>
  <c r="C159" i="2"/>
  <c r="F159" i="2" s="1"/>
  <c r="C155" i="2"/>
  <c r="F155" i="2" s="1"/>
  <c r="C151" i="2"/>
  <c r="F151" i="2" s="1"/>
  <c r="C147" i="2"/>
  <c r="F147" i="2" s="1"/>
  <c r="C143" i="2"/>
  <c r="F143" i="2" s="1"/>
  <c r="C139" i="2"/>
  <c r="F139" i="2" s="1"/>
  <c r="C135" i="2"/>
  <c r="F135" i="2" s="1"/>
  <c r="C131" i="2"/>
  <c r="F131" i="2" s="1"/>
  <c r="C127" i="2"/>
  <c r="F127" i="2" s="1"/>
  <c r="C123" i="2"/>
  <c r="F123" i="2" s="1"/>
  <c r="C119" i="2"/>
  <c r="F119" i="2" s="1"/>
  <c r="C115" i="2"/>
  <c r="F115" i="2" s="1"/>
  <c r="C111" i="2"/>
  <c r="F111" i="2" s="1"/>
  <c r="C107" i="2"/>
  <c r="F107" i="2" s="1"/>
  <c r="C103" i="2"/>
  <c r="F103" i="2" s="1"/>
  <c r="C99" i="2"/>
  <c r="F99" i="2" s="1"/>
  <c r="C95" i="2"/>
  <c r="F95" i="2" s="1"/>
  <c r="C91" i="2"/>
  <c r="F91" i="2" s="1"/>
  <c r="C87" i="2"/>
  <c r="F87" i="2" s="1"/>
  <c r="C83" i="2"/>
  <c r="F83" i="2" s="1"/>
  <c r="C79" i="2"/>
  <c r="F79" i="2" s="1"/>
  <c r="C75" i="2"/>
  <c r="F75" i="2" s="1"/>
  <c r="C71" i="2"/>
  <c r="F71" i="2" s="1"/>
  <c r="C67" i="2"/>
  <c r="F67" i="2" s="1"/>
  <c r="C63" i="2"/>
  <c r="F63" i="2" s="1"/>
  <c r="C59" i="2"/>
  <c r="F59" i="2" s="1"/>
  <c r="C55" i="2"/>
  <c r="F55" i="2" s="1"/>
  <c r="C51" i="2"/>
  <c r="F51" i="2" s="1"/>
  <c r="C47" i="2"/>
  <c r="F47" i="2" s="1"/>
  <c r="C43" i="2"/>
  <c r="F43" i="2" s="1"/>
  <c r="C39" i="2"/>
  <c r="F39" i="2" s="1"/>
  <c r="C35" i="2"/>
  <c r="F35" i="2" s="1"/>
  <c r="C31" i="2"/>
  <c r="F31" i="2" s="1"/>
  <c r="C27" i="2"/>
  <c r="F27" i="2" s="1"/>
  <c r="C23" i="2"/>
  <c r="F23" i="2" s="1"/>
  <c r="C19" i="2"/>
  <c r="F19" i="2" s="1"/>
  <c r="C15" i="2"/>
  <c r="F15" i="2" s="1"/>
  <c r="C11" i="2"/>
  <c r="F11" i="2" s="1"/>
  <c r="C7" i="2"/>
  <c r="F7" i="2" s="1"/>
  <c r="C3" i="2"/>
  <c r="F3" i="2" s="1"/>
  <c r="C9" i="2"/>
  <c r="F9" i="2" s="1"/>
  <c r="D3" i="2"/>
  <c r="D5" i="2"/>
  <c r="D7" i="2"/>
  <c r="D9" i="2"/>
  <c r="D11" i="2"/>
  <c r="D13" i="2"/>
  <c r="D15" i="2"/>
  <c r="D17" i="2"/>
  <c r="D19" i="2"/>
  <c r="D21" i="2"/>
  <c r="D23" i="2"/>
  <c r="D25" i="2"/>
  <c r="D27" i="2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1" i="2"/>
  <c r="D123" i="2"/>
  <c r="D125" i="2"/>
  <c r="D127" i="2"/>
  <c r="D129" i="2"/>
  <c r="D131" i="2"/>
  <c r="D133" i="2"/>
  <c r="D135" i="2"/>
  <c r="D137" i="2"/>
  <c r="D139" i="2"/>
  <c r="D141" i="2"/>
  <c r="D143" i="2"/>
  <c r="D145" i="2"/>
  <c r="D147" i="2"/>
  <c r="D149" i="2"/>
  <c r="D2" i="2"/>
  <c r="D4" i="2"/>
  <c r="D6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D88" i="2"/>
  <c r="D90" i="2"/>
  <c r="D92" i="2"/>
  <c r="D94" i="2"/>
  <c r="D96" i="2"/>
  <c r="D98" i="2"/>
  <c r="D100" i="2"/>
  <c r="D102" i="2"/>
  <c r="D104" i="2"/>
  <c r="D106" i="2"/>
  <c r="D108" i="2"/>
  <c r="D110" i="2"/>
  <c r="D112" i="2"/>
  <c r="D114" i="2"/>
  <c r="D116" i="2"/>
  <c r="D118" i="2"/>
  <c r="D120" i="2"/>
  <c r="D122" i="2"/>
  <c r="D124" i="2"/>
  <c r="D126" i="2"/>
  <c r="D128" i="2"/>
  <c r="D130" i="2"/>
  <c r="D132" i="2"/>
  <c r="D134" i="2"/>
  <c r="D136" i="2"/>
  <c r="D138" i="2"/>
  <c r="D140" i="2"/>
  <c r="D142" i="2"/>
  <c r="D144" i="2"/>
  <c r="D146" i="2"/>
  <c r="D148" i="2"/>
  <c r="D150" i="2"/>
  <c r="D152" i="2"/>
  <c r="D154" i="2"/>
  <c r="D156" i="2"/>
  <c r="D158" i="2"/>
  <c r="D160" i="2"/>
  <c r="D162" i="2"/>
  <c r="D164" i="2"/>
  <c r="D166" i="2"/>
  <c r="D168" i="2"/>
  <c r="D170" i="2"/>
  <c r="D172" i="2"/>
  <c r="D174" i="2"/>
  <c r="D176" i="2"/>
  <c r="D178" i="2"/>
  <c r="D180" i="2"/>
  <c r="D182" i="2"/>
  <c r="D184" i="2"/>
  <c r="D186" i="2"/>
  <c r="D188" i="2"/>
  <c r="D190" i="2"/>
  <c r="D192" i="2"/>
  <c r="D194" i="2"/>
  <c r="D196" i="2"/>
  <c r="D198" i="2"/>
  <c r="D200" i="2"/>
  <c r="D202" i="2"/>
  <c r="D204" i="2"/>
  <c r="D206" i="2"/>
  <c r="D208" i="2"/>
  <c r="D210" i="2"/>
  <c r="D212" i="2"/>
  <c r="D214" i="2"/>
  <c r="D216" i="2"/>
  <c r="D218" i="2"/>
  <c r="D220" i="2"/>
  <c r="D222" i="2"/>
  <c r="D224" i="2"/>
  <c r="D226" i="2"/>
  <c r="D228" i="2"/>
  <c r="D230" i="2"/>
  <c r="D232" i="2"/>
  <c r="D234" i="2"/>
  <c r="D236" i="2"/>
  <c r="D238" i="2"/>
  <c r="D240" i="2"/>
  <c r="D242" i="2"/>
  <c r="D244" i="2"/>
  <c r="D246" i="2"/>
  <c r="D248" i="2"/>
  <c r="D250" i="2"/>
  <c r="D252" i="2"/>
  <c r="D254" i="2"/>
  <c r="D256" i="2"/>
  <c r="D258" i="2"/>
  <c r="D260" i="2"/>
  <c r="D262" i="2"/>
  <c r="D264" i="2"/>
  <c r="D266" i="2"/>
  <c r="D268" i="2"/>
  <c r="D270" i="2"/>
  <c r="D272" i="2"/>
  <c r="D274" i="2"/>
  <c r="D276" i="2"/>
  <c r="D278" i="2"/>
  <c r="D280" i="2"/>
  <c r="D282" i="2"/>
  <c r="D284" i="2"/>
  <c r="D286" i="2"/>
  <c r="D288" i="2"/>
  <c r="D290" i="2"/>
  <c r="D292" i="2"/>
  <c r="D294" i="2"/>
  <c r="D296" i="2"/>
  <c r="D298" i="2"/>
  <c r="D300" i="2"/>
  <c r="D302" i="2"/>
  <c r="D304" i="2"/>
  <c r="D306" i="2"/>
  <c r="D308" i="2"/>
  <c r="D310" i="2"/>
  <c r="D312" i="2"/>
  <c r="D314" i="2"/>
  <c r="D316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203" i="2"/>
  <c r="D205" i="2"/>
  <c r="D207" i="2"/>
  <c r="D209" i="2"/>
  <c r="D211" i="2"/>
  <c r="D213" i="2"/>
  <c r="D215" i="2"/>
  <c r="D217" i="2"/>
  <c r="D219" i="2"/>
  <c r="D221" i="2"/>
  <c r="D223" i="2"/>
  <c r="D225" i="2"/>
  <c r="D227" i="2"/>
  <c r="D229" i="2"/>
  <c r="D231" i="2"/>
  <c r="D233" i="2"/>
  <c r="D235" i="2"/>
  <c r="D237" i="2"/>
  <c r="D239" i="2"/>
  <c r="D241" i="2"/>
  <c r="D243" i="2"/>
  <c r="D245" i="2"/>
  <c r="D247" i="2"/>
  <c r="D249" i="2"/>
  <c r="D251" i="2"/>
  <c r="D253" i="2"/>
  <c r="D255" i="2"/>
  <c r="D257" i="2"/>
  <c r="D259" i="2"/>
  <c r="D261" i="2"/>
  <c r="D263" i="2"/>
  <c r="D265" i="2"/>
  <c r="D267" i="2"/>
  <c r="D269" i="2"/>
  <c r="D271" i="2"/>
  <c r="D273" i="2"/>
  <c r="D275" i="2"/>
  <c r="D277" i="2"/>
  <c r="D279" i="2"/>
  <c r="D281" i="2"/>
  <c r="D283" i="2"/>
  <c r="D285" i="2"/>
  <c r="D287" i="2"/>
  <c r="D289" i="2"/>
  <c r="D291" i="2"/>
  <c r="D293" i="2"/>
  <c r="D295" i="2"/>
  <c r="D297" i="2"/>
  <c r="D299" i="2"/>
  <c r="D301" i="2"/>
  <c r="D303" i="2"/>
  <c r="D305" i="2"/>
  <c r="D307" i="2"/>
  <c r="D309" i="2"/>
  <c r="D311" i="2"/>
  <c r="D313" i="2"/>
  <c r="D315" i="2"/>
  <c r="D317" i="2"/>
  <c r="D319" i="2"/>
  <c r="D318" i="2"/>
  <c r="D321" i="2"/>
  <c r="D323" i="2"/>
  <c r="D325" i="2"/>
  <c r="D327" i="2"/>
  <c r="D329" i="2"/>
  <c r="D331" i="2"/>
  <c r="D333" i="2"/>
  <c r="D335" i="2"/>
  <c r="D337" i="2"/>
  <c r="D339" i="2"/>
  <c r="D341" i="2"/>
  <c r="D343" i="2"/>
  <c r="D345" i="2"/>
  <c r="D347" i="2"/>
  <c r="D349" i="2"/>
  <c r="D351" i="2"/>
  <c r="D353" i="2"/>
  <c r="D355" i="2"/>
  <c r="D357" i="2"/>
  <c r="D359" i="2"/>
  <c r="D361" i="2"/>
  <c r="D363" i="2"/>
  <c r="D365" i="2"/>
  <c r="D367" i="2"/>
  <c r="D369" i="2"/>
  <c r="D371" i="2"/>
  <c r="D373" i="2"/>
  <c r="D375" i="2"/>
  <c r="D377" i="2"/>
  <c r="D379" i="2"/>
  <c r="D381" i="2"/>
  <c r="D383" i="2"/>
  <c r="D385" i="2"/>
  <c r="D387" i="2"/>
  <c r="D389" i="2"/>
  <c r="D391" i="2"/>
  <c r="D393" i="2"/>
  <c r="D395" i="2"/>
  <c r="D397" i="2"/>
  <c r="D399" i="2"/>
  <c r="D401" i="2"/>
  <c r="D403" i="2"/>
  <c r="D405" i="2"/>
  <c r="D407" i="2"/>
  <c r="D409" i="2"/>
  <c r="D411" i="2"/>
  <c r="D413" i="2"/>
  <c r="D415" i="2"/>
  <c r="D417" i="2"/>
  <c r="D419" i="2"/>
  <c r="D421" i="2"/>
  <c r="D423" i="2"/>
  <c r="D425" i="2"/>
  <c r="D427" i="2"/>
  <c r="D429" i="2"/>
  <c r="D431" i="2"/>
  <c r="D433" i="2"/>
  <c r="D435" i="2"/>
  <c r="D437" i="2"/>
  <c r="D439" i="2"/>
  <c r="D441" i="2"/>
  <c r="D443" i="2"/>
  <c r="D445" i="2"/>
  <c r="D447" i="2"/>
  <c r="D449" i="2"/>
  <c r="D451" i="2"/>
  <c r="D453" i="2"/>
  <c r="D455" i="2"/>
  <c r="D320" i="2"/>
  <c r="D322" i="2"/>
  <c r="D324" i="2"/>
  <c r="D326" i="2"/>
  <c r="D328" i="2"/>
  <c r="D330" i="2"/>
  <c r="D332" i="2"/>
  <c r="D334" i="2"/>
  <c r="D336" i="2"/>
  <c r="D338" i="2"/>
  <c r="D340" i="2"/>
  <c r="D342" i="2"/>
  <c r="D344" i="2"/>
  <c r="D346" i="2"/>
  <c r="D348" i="2"/>
  <c r="D350" i="2"/>
  <c r="D352" i="2"/>
  <c r="D354" i="2"/>
  <c r="D356" i="2"/>
  <c r="D358" i="2"/>
  <c r="D360" i="2"/>
  <c r="D362" i="2"/>
  <c r="D364" i="2"/>
  <c r="D366" i="2"/>
  <c r="D368" i="2"/>
  <c r="D370" i="2"/>
  <c r="D372" i="2"/>
  <c r="D374" i="2"/>
  <c r="D376" i="2"/>
  <c r="D378" i="2"/>
  <c r="D380" i="2"/>
  <c r="D382" i="2"/>
  <c r="D384" i="2"/>
  <c r="D386" i="2"/>
  <c r="D388" i="2"/>
  <c r="D390" i="2"/>
  <c r="D392" i="2"/>
  <c r="D394" i="2"/>
  <c r="D396" i="2"/>
  <c r="D398" i="2"/>
  <c r="D400" i="2"/>
  <c r="D402" i="2"/>
  <c r="D404" i="2"/>
  <c r="D406" i="2"/>
  <c r="D408" i="2"/>
  <c r="D410" i="2"/>
  <c r="D412" i="2"/>
  <c r="D414" i="2"/>
  <c r="D416" i="2"/>
  <c r="D418" i="2"/>
  <c r="D420" i="2"/>
  <c r="D422" i="2"/>
  <c r="D424" i="2"/>
  <c r="D426" i="2"/>
  <c r="D428" i="2"/>
  <c r="D430" i="2"/>
  <c r="D432" i="2"/>
  <c r="D434" i="2"/>
  <c r="D436" i="2"/>
  <c r="D438" i="2"/>
  <c r="D440" i="2"/>
  <c r="D442" i="2"/>
  <c r="D444" i="2"/>
  <c r="D446" i="2"/>
  <c r="D448" i="2"/>
  <c r="D450" i="2"/>
  <c r="D452" i="2"/>
  <c r="D454" i="2"/>
  <c r="O3" i="2"/>
  <c r="R4" i="2"/>
  <c r="K1" i="2"/>
  <c r="M4" i="2" s="1"/>
  <c r="M3" i="2"/>
  <c r="O4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eraterm" description="Connection to the 'teraterm' query in the workbook." type="5" refreshedVersion="6" background="1" saveData="1">
    <dbPr connection="Provider=Microsoft.Mashup.OleDb.1;Data Source=$Workbook$;Location=teraterm;Extended Properties=&quot;&quot;" command="SELECT * FROM [teraterm]"/>
  </connection>
</connections>
</file>

<file path=xl/sharedStrings.xml><?xml version="1.0" encoding="utf-8"?>
<sst xmlns="http://schemas.openxmlformats.org/spreadsheetml/2006/main" count="24" uniqueCount="21">
  <si>
    <t>Column1</t>
  </si>
  <si>
    <t>Column2</t>
  </si>
  <si>
    <t>offset</t>
  </si>
  <si>
    <t>r1</t>
  </si>
  <si>
    <t>r2</t>
  </si>
  <si>
    <t>V(V)</t>
  </si>
  <si>
    <t>Value(V)</t>
  </si>
  <si>
    <t>V²</t>
  </si>
  <si>
    <t>Vrms</t>
  </si>
  <si>
    <t>vmains</t>
  </si>
  <si>
    <t>gain error</t>
  </si>
  <si>
    <t>min</t>
  </si>
  <si>
    <t>max</t>
  </si>
  <si>
    <t xml:space="preserve">gain  </t>
  </si>
  <si>
    <t>gain adc</t>
  </si>
  <si>
    <t>total</t>
  </si>
  <si>
    <t>gain Rs</t>
  </si>
  <si>
    <t>v</t>
  </si>
  <si>
    <t>i</t>
  </si>
  <si>
    <t>ioffset</t>
  </si>
  <si>
    <t>I(mA)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</si>
</sst>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595030157041399E-2"/>
          <c:y val="7.2607260726072612E-2"/>
          <c:w val="0.84006932989776317"/>
          <c:h val="0.88713442997843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V(V)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Sheet2!$C$2:$C$60</c:f>
              <c:numCache>
                <c:formatCode>0.00</c:formatCode>
                <c:ptCount val="59"/>
                <c:pt idx="0">
                  <c:v>121.642822265625</c:v>
                </c:pt>
                <c:pt idx="1">
                  <c:v>143.7099609375</c:v>
                </c:pt>
                <c:pt idx="2">
                  <c:v>167.41845703125</c:v>
                </c:pt>
                <c:pt idx="3">
                  <c:v>192.22119140625</c:v>
                </c:pt>
                <c:pt idx="4">
                  <c:v>217.2974853515625</c:v>
                </c:pt>
                <c:pt idx="5">
                  <c:v>239.9117431640625</c:v>
                </c:pt>
                <c:pt idx="6">
                  <c:v>261.705322265625</c:v>
                </c:pt>
                <c:pt idx="7">
                  <c:v>282.2222900390625</c:v>
                </c:pt>
                <c:pt idx="8">
                  <c:v>301.3714599609375</c:v>
                </c:pt>
                <c:pt idx="9">
                  <c:v>319.699951171875</c:v>
                </c:pt>
                <c:pt idx="10">
                  <c:v>335.019287109375</c:v>
                </c:pt>
                <c:pt idx="11">
                  <c:v>346.87353515625</c:v>
                </c:pt>
                <c:pt idx="12">
                  <c:v>357.5423583984375</c:v>
                </c:pt>
                <c:pt idx="13">
                  <c:v>362.19287109375</c:v>
                </c:pt>
                <c:pt idx="14">
                  <c:v>363.65185546875</c:v>
                </c:pt>
                <c:pt idx="15">
                  <c:v>364.38134765625</c:v>
                </c:pt>
                <c:pt idx="16">
                  <c:v>364.1077880859375</c:v>
                </c:pt>
                <c:pt idx="17">
                  <c:v>362.1016845703125</c:v>
                </c:pt>
                <c:pt idx="18">
                  <c:v>352.891845703125</c:v>
                </c:pt>
                <c:pt idx="19">
                  <c:v>336.2047119140625</c:v>
                </c:pt>
                <c:pt idx="20">
                  <c:v>319.0616455078125</c:v>
                </c:pt>
                <c:pt idx="21">
                  <c:v>301.2802734375</c:v>
                </c:pt>
                <c:pt idx="22">
                  <c:v>280.9456787109375</c:v>
                </c:pt>
                <c:pt idx="23">
                  <c:v>259.4256591796875</c:v>
                </c:pt>
                <c:pt idx="24">
                  <c:v>236.6290283203125</c:v>
                </c:pt>
                <c:pt idx="25">
                  <c:v>212.1910400390625</c:v>
                </c:pt>
                <c:pt idx="26">
                  <c:v>186.932373046875</c:v>
                </c:pt>
                <c:pt idx="27">
                  <c:v>162.7679443359375</c:v>
                </c:pt>
                <c:pt idx="28">
                  <c:v>139.880126953125</c:v>
                </c:pt>
                <c:pt idx="29">
                  <c:v>118.0865478515625</c:v>
                </c:pt>
                <c:pt idx="30">
                  <c:v>97.6607666015625</c:v>
                </c:pt>
                <c:pt idx="31">
                  <c:v>78.0556640625</c:v>
                </c:pt>
                <c:pt idx="32">
                  <c:v>60.18310546875</c:v>
                </c:pt>
                <c:pt idx="33">
                  <c:v>46.5963134765625</c:v>
                </c:pt>
                <c:pt idx="34">
                  <c:v>34.468505859375</c:v>
                </c:pt>
                <c:pt idx="35">
                  <c:v>27.0823974609375</c:v>
                </c:pt>
                <c:pt idx="36">
                  <c:v>25.16748046875</c:v>
                </c:pt>
                <c:pt idx="37">
                  <c:v>24.620361328125</c:v>
                </c:pt>
                <c:pt idx="38">
                  <c:v>25.0762939453125</c:v>
                </c:pt>
                <c:pt idx="39">
                  <c:v>26.9912109375</c:v>
                </c:pt>
                <c:pt idx="40">
                  <c:v>263.893798828125</c:v>
                </c:pt>
                <c:pt idx="41">
                  <c:v>284.7755126953125</c:v>
                </c:pt>
                <c:pt idx="42">
                  <c:v>304.2894287109375</c:v>
                </c:pt>
                <c:pt idx="43">
                  <c:v>322.617919921875</c:v>
                </c:pt>
                <c:pt idx="44">
                  <c:v>338.11962890625</c:v>
                </c:pt>
                <c:pt idx="45">
                  <c:v>350.15625</c:v>
                </c:pt>
                <c:pt idx="46">
                  <c:v>361.0986328125</c:v>
                </c:pt>
                <c:pt idx="47">
                  <c:v>365.84033203125</c:v>
                </c:pt>
                <c:pt idx="48">
                  <c:v>367.29931640625</c:v>
                </c:pt>
                <c:pt idx="49">
                  <c:v>368.1199951171875</c:v>
                </c:pt>
                <c:pt idx="50">
                  <c:v>367.9376220703125</c:v>
                </c:pt>
                <c:pt idx="51">
                  <c:v>365.7491455078125</c:v>
                </c:pt>
                <c:pt idx="52">
                  <c:v>356.539306640625</c:v>
                </c:pt>
                <c:pt idx="53">
                  <c:v>339.760986328125</c:v>
                </c:pt>
                <c:pt idx="54">
                  <c:v>322.3443603515625</c:v>
                </c:pt>
                <c:pt idx="55">
                  <c:v>304.1982421875</c:v>
                </c:pt>
                <c:pt idx="56">
                  <c:v>283.7724609375</c:v>
                </c:pt>
                <c:pt idx="57">
                  <c:v>262.3436279296875</c:v>
                </c:pt>
                <c:pt idx="58">
                  <c:v>239.455810546875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080360"/>
        <c:axId val="773080688"/>
      </c:scatterChart>
      <c:scatterChart>
        <c:scatterStyle val="lineMarker"/>
        <c:varyColors val="0"/>
        <c:ser>
          <c:idx val="1"/>
          <c:order val="1"/>
          <c:tx>
            <c:strRef>
              <c:f>Sheet2!$D$1</c:f>
              <c:strCache>
                <c:ptCount val="1"/>
                <c:pt idx="0">
                  <c:v>I(mA)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Sheet2!$D$2:$D$60</c:f>
              <c:numCache>
                <c:formatCode>0.00</c:formatCode>
                <c:ptCount val="59"/>
                <c:pt idx="0">
                  <c:v>-62.662760416666657</c:v>
                </c:pt>
                <c:pt idx="1">
                  <c:v>-45.166015624999993</c:v>
                </c:pt>
                <c:pt idx="2">
                  <c:v>-35.400390625</c:v>
                </c:pt>
                <c:pt idx="3">
                  <c:v>-17.903645833333332</c:v>
                </c:pt>
                <c:pt idx="4">
                  <c:v>6.1035156249999991</c:v>
                </c:pt>
                <c:pt idx="5">
                  <c:v>23.600260416666664</c:v>
                </c:pt>
                <c:pt idx="6">
                  <c:v>42.724609374999993</c:v>
                </c:pt>
                <c:pt idx="7">
                  <c:v>59.000651041666664</c:v>
                </c:pt>
                <c:pt idx="8">
                  <c:v>69.580078125</c:v>
                </c:pt>
                <c:pt idx="9">
                  <c:v>85.856119791666657</c:v>
                </c:pt>
                <c:pt idx="10">
                  <c:v>102.13216145833333</c:v>
                </c:pt>
                <c:pt idx="11">
                  <c:v>112.30468749999999</c:v>
                </c:pt>
                <c:pt idx="12">
                  <c:v>118.40820312499999</c:v>
                </c:pt>
                <c:pt idx="13">
                  <c:v>120.84960937499999</c:v>
                </c:pt>
                <c:pt idx="14">
                  <c:v>115.96679687499999</c:v>
                </c:pt>
                <c:pt idx="15">
                  <c:v>118.40820312499999</c:v>
                </c:pt>
                <c:pt idx="16">
                  <c:v>115.96679687499999</c:v>
                </c:pt>
                <c:pt idx="17">
                  <c:v>111.89778645833333</c:v>
                </c:pt>
                <c:pt idx="18">
                  <c:v>109.86328124999999</c:v>
                </c:pt>
                <c:pt idx="19">
                  <c:v>83.007812499999986</c:v>
                </c:pt>
                <c:pt idx="20">
                  <c:v>82.194010416666657</c:v>
                </c:pt>
                <c:pt idx="21">
                  <c:v>66.731770833333329</c:v>
                </c:pt>
                <c:pt idx="22">
                  <c:v>57.779947916666664</c:v>
                </c:pt>
                <c:pt idx="23">
                  <c:v>28.889973958333332</c:v>
                </c:pt>
                <c:pt idx="24">
                  <c:v>19.124348958333332</c:v>
                </c:pt>
                <c:pt idx="25">
                  <c:v>-5.696614583333333</c:v>
                </c:pt>
                <c:pt idx="26">
                  <c:v>-15.462239583333332</c:v>
                </c:pt>
                <c:pt idx="27">
                  <c:v>-39.469401041666664</c:v>
                </c:pt>
                <c:pt idx="28">
                  <c:v>-51.676432291666664</c:v>
                </c:pt>
                <c:pt idx="29">
                  <c:v>-72.021484375</c:v>
                </c:pt>
                <c:pt idx="30">
                  <c:v>-94.807942708333329</c:v>
                </c:pt>
                <c:pt idx="31">
                  <c:v>-122.88411458333333</c:v>
                </c:pt>
                <c:pt idx="32">
                  <c:v>-142.00846354166666</c:v>
                </c:pt>
                <c:pt idx="33">
                  <c:v>-158.69140624999997</c:v>
                </c:pt>
                <c:pt idx="34">
                  <c:v>-179.85026041666666</c:v>
                </c:pt>
                <c:pt idx="35">
                  <c:v>-185.95377604166666</c:v>
                </c:pt>
                <c:pt idx="36">
                  <c:v>-190.02278645833331</c:v>
                </c:pt>
                <c:pt idx="37">
                  <c:v>-187.17447916666666</c:v>
                </c:pt>
                <c:pt idx="38">
                  <c:v>-190.02278645833331</c:v>
                </c:pt>
                <c:pt idx="39">
                  <c:v>-181.47786458333331</c:v>
                </c:pt>
                <c:pt idx="40">
                  <c:v>30.110677083333332</c:v>
                </c:pt>
                <c:pt idx="41">
                  <c:v>50.455729166666664</c:v>
                </c:pt>
                <c:pt idx="42">
                  <c:v>69.173177083333329</c:v>
                </c:pt>
                <c:pt idx="43">
                  <c:v>87.076822916666657</c:v>
                </c:pt>
                <c:pt idx="44">
                  <c:v>105.38736979166666</c:v>
                </c:pt>
                <c:pt idx="45">
                  <c:v>113.11848958333333</c:v>
                </c:pt>
                <c:pt idx="46">
                  <c:v>121.66341145833333</c:v>
                </c:pt>
                <c:pt idx="47">
                  <c:v>124.91861979166666</c:v>
                </c:pt>
                <c:pt idx="48">
                  <c:v>123.69791666666666</c:v>
                </c:pt>
                <c:pt idx="49">
                  <c:v>117.59440104166666</c:v>
                </c:pt>
                <c:pt idx="50">
                  <c:v>120.84960937499999</c:v>
                </c:pt>
                <c:pt idx="51">
                  <c:v>114.33919270833333</c:v>
                </c:pt>
                <c:pt idx="52">
                  <c:v>109.86328124999999</c:v>
                </c:pt>
                <c:pt idx="53">
                  <c:v>86.263020833333329</c:v>
                </c:pt>
                <c:pt idx="54">
                  <c:v>84.228515624999986</c:v>
                </c:pt>
                <c:pt idx="55">
                  <c:v>67.545572916666657</c:v>
                </c:pt>
                <c:pt idx="56">
                  <c:v>50.862630208333329</c:v>
                </c:pt>
                <c:pt idx="57">
                  <c:v>36.62109375</c:v>
                </c:pt>
                <c:pt idx="58">
                  <c:v>15.055338541666666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78304"/>
        <c:axId val="401778960"/>
      </c:scatterChart>
      <c:valAx>
        <c:axId val="773080360"/>
        <c:scaling>
          <c:orientation val="minMax"/>
          <c:max val="60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688"/>
        <c:crosses val="autoZero"/>
        <c:crossBetween val="midCat"/>
      </c:valAx>
      <c:valAx>
        <c:axId val="7730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Tension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360"/>
        <c:crosses val="autoZero"/>
        <c:crossBetween val="midCat"/>
      </c:valAx>
      <c:valAx>
        <c:axId val="401778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Courant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1778304"/>
        <c:crosses val="max"/>
        <c:crossBetween val="midCat"/>
      </c:valAx>
      <c:valAx>
        <c:axId val="40177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77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28576</xdr:rowOff>
    </xdr:from>
    <xdr:to>
      <xdr:col>20</xdr:col>
      <xdr:colOff>323850</xdr:colOff>
      <xdr:row>21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0B3CB9-E9D4-44D3-8E21-A6F147CC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</xdr:colOff>
      <xdr:row>0</xdr:row>
      <xdr:rowOff>47625</xdr:rowOff>
    </xdr:from>
    <xdr:to>
      <xdr:col>7</xdr:col>
      <xdr:colOff>9525</xdr:colOff>
      <xdr:row>1</xdr:row>
      <xdr:rowOff>171450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E36F7E39-3066-4D12-A26B-B28A0477BB3F}"/>
            </a:ext>
          </a:extLst>
        </xdr:cNvPr>
        <xdr:cNvSpPr/>
      </xdr:nvSpPr>
      <xdr:spPr>
        <a:xfrm>
          <a:off x="3162300" y="47625"/>
          <a:ext cx="5524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Query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7" unboundColumnsRight="4">
    <queryTableFields count="6">
      <queryTableField id="1" name="Column1" tableColumnId="1"/>
      <queryTableField id="2" name="Column2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94D41-142B-4326-B960-4263C333E552}" name="teraterm" displayName="teraterm" ref="A1:F455" tableType="queryTable" totalsRowShown="0" headerRowDxfId="7" dataDxfId="6">
  <autoFilter ref="A1:F455" xr:uid="{6B9D9546-08EB-41F5-9F90-BF5BB6C2A8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CCB6EC-2E71-4782-BC8B-B804AB00774B}" uniqueName="1" name="Column1" queryTableFieldId="1" dataDxfId="5"/>
    <tableColumn id="2" xr3:uid="{147C4680-2907-4E5E-A4F0-91C8FD2210DA}" uniqueName="2" name="Column2" queryTableFieldId="2" dataDxfId="4"/>
    <tableColumn id="3" xr3:uid="{82FA24D1-7923-4318-BF07-89A96DD1F29B}" uniqueName="3" name="V(V)" queryTableFieldId="3" dataDxfId="3">
      <calculatedColumnFormula>(teraterm[[#This Row],[Value(V)]]+$K$2)*$S$2</calculatedColumnFormula>
    </tableColumn>
    <tableColumn id="4" xr3:uid="{BD5BA2A1-1673-4F98-8607-21E4354686E3}" uniqueName="4" name="I(mA)" queryTableFieldId="4" dataDxfId="2">
      <calculatedColumnFormula>(teraterm[[#This Row],[Column2]]-Q$4)*$S$3*1000</calculatedColumnFormula>
    </tableColumn>
    <tableColumn id="5" xr3:uid="{F283EBE1-3657-4410-9954-79EC01FD15B6}" uniqueName="5" name="Value(V)" queryTableFieldId="5" dataDxfId="1">
      <calculatedColumnFormula>IF(ABS(VALUE(teraterm[[#This Row],[Column1]]))&lt;4096,VALUE(teraterm[[#This Row],[Column1]]),0)</calculatedColumnFormula>
    </tableColumn>
    <tableColumn id="6" xr3:uid="{A526BA89-383A-494C-93E5-C20A9281FF8D}" uniqueName="6" name="V²" queryTableFieldId="6" dataDxfId="0">
      <calculatedColumnFormula>teraterm[[#This Row],[V(V)]]^2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9B1D-5EB7-476F-A909-98813A2B061E}">
  <sheetPr codeName="Sheet1"/>
  <dimension ref="A1:T455"/>
  <sheetViews>
    <sheetView tabSelected="1" zoomScaleNormal="100" workbookViewId="0">
      <selection activeCell="E8" sqref="E8"/>
    </sheetView>
  </sheetViews>
  <sheetFormatPr defaultRowHeight="15" x14ac:dyDescent="0.25"/>
  <cols>
    <col min="1" max="1" width="13.42578125" style="1" bestFit="1" customWidth="1"/>
    <col min="2" max="2" width="13.42578125" style="2" bestFit="1" customWidth="1"/>
    <col min="3" max="3" width="9.5703125" style="1" bestFit="1" customWidth="1"/>
    <col min="4" max="4" width="10.5703125" style="1" bestFit="1" customWidth="1"/>
    <col min="5" max="5" width="13.42578125" style="1" customWidth="1"/>
    <col min="6" max="6" width="9.5703125" style="1" bestFit="1" customWidth="1"/>
    <col min="7" max="7" width="8.5703125" style="1" customWidth="1"/>
    <col min="8" max="8" width="4" style="2" bestFit="1" customWidth="1"/>
    <col min="9" max="9" width="8.42578125" style="2" bestFit="1" customWidth="1"/>
    <col min="10" max="10" width="7.28515625" style="2" bestFit="1" customWidth="1"/>
    <col min="11" max="11" width="10.28515625" style="2" customWidth="1"/>
    <col min="12" max="12" width="9.5703125" style="2" bestFit="1" customWidth="1"/>
    <col min="13" max="13" width="8.85546875" style="2" customWidth="1"/>
    <col min="14" max="14" width="6.42578125" style="2" customWidth="1"/>
    <col min="15" max="15" width="8.7109375" style="2" customWidth="1"/>
    <col min="16" max="16" width="9.140625" style="2"/>
    <col min="17" max="17" width="8.140625" style="2" bestFit="1" customWidth="1"/>
    <col min="18" max="18" width="7.5703125" style="2" bestFit="1" customWidth="1"/>
    <col min="19" max="19" width="10.42578125" style="2" customWidth="1"/>
    <col min="20" max="16384" width="9.140625" style="2"/>
  </cols>
  <sheetData>
    <row r="1" spans="1:20" x14ac:dyDescent="0.25">
      <c r="A1" s="1" t="s">
        <v>0</v>
      </c>
      <c r="B1" s="2" t="s">
        <v>1</v>
      </c>
      <c r="C1" s="1" t="s">
        <v>5</v>
      </c>
      <c r="D1" s="1" t="s">
        <v>20</v>
      </c>
      <c r="E1" s="1" t="s">
        <v>6</v>
      </c>
      <c r="F1" s="1" t="s">
        <v>7</v>
      </c>
      <c r="J1" s="2" t="s">
        <v>8</v>
      </c>
      <c r="K1" s="3">
        <f>SQRT(AVERAGE(F:F))</f>
        <v>231.79842418950736</v>
      </c>
      <c r="L1" s="2" t="s">
        <v>3</v>
      </c>
      <c r="M1" s="2">
        <v>330</v>
      </c>
      <c r="N1" s="2" t="s">
        <v>4</v>
      </c>
      <c r="O1" s="2">
        <v>2</v>
      </c>
      <c r="Q1" s="2" t="s">
        <v>14</v>
      </c>
      <c r="R1" s="2" t="s">
        <v>16</v>
      </c>
      <c r="S1" s="2" t="s">
        <v>15</v>
      </c>
    </row>
    <row r="2" spans="1:20" x14ac:dyDescent="0.25">
      <c r="A2" s="7">
        <v>1326</v>
      </c>
      <c r="B2" s="2">
        <v>206</v>
      </c>
      <c r="C2" s="1">
        <f>(teraterm[[#This Row],[Value(V)]]+$K$2)*$S$2</f>
        <v>121.642822265625</v>
      </c>
      <c r="D2" s="1">
        <f>(teraterm[[#This Row],[Column2]]-Q$4)*$S$3*1000</f>
        <v>-62.662760416666657</v>
      </c>
      <c r="E2" s="1">
        <f>IF(ABS(VALUE(teraterm[[#This Row],[Column1]]))&lt;4096,VALUE(teraterm[[#This Row],[Column1]]),0)</f>
        <v>1326</v>
      </c>
      <c r="F2" s="1">
        <f>teraterm[[#This Row],[V(V)]]^2</f>
        <v>14796.976208746433</v>
      </c>
      <c r="J2" s="2" t="s">
        <v>2</v>
      </c>
      <c r="K2" s="2">
        <v>8</v>
      </c>
      <c r="L2" s="2" t="s">
        <v>11</v>
      </c>
      <c r="M2" s="1">
        <f>MIN(E:E)</f>
        <v>253</v>
      </c>
      <c r="N2" s="2" t="s">
        <v>12</v>
      </c>
      <c r="O2" s="2">
        <f>MAX(E:E)</f>
        <v>4029</v>
      </c>
      <c r="P2" s="2" t="s">
        <v>17</v>
      </c>
      <c r="Q2" s="4">
        <f>5/4096</f>
        <v>1.220703125E-3</v>
      </c>
      <c r="R2" s="4">
        <f>(M1+O1)/O1</f>
        <v>166</v>
      </c>
      <c r="S2" s="4">
        <f>R2*Q2*K4</f>
        <v>9.11865234375E-2</v>
      </c>
      <c r="T2" s="4"/>
    </row>
    <row r="3" spans="1:20" x14ac:dyDescent="0.25">
      <c r="A3" s="7">
        <v>1568</v>
      </c>
      <c r="B3" s="2">
        <v>249</v>
      </c>
      <c r="C3" s="1">
        <f>(teraterm[[#This Row],[Value(V)]]+$K$2)*$S$2</f>
        <v>143.7099609375</v>
      </c>
      <c r="D3" s="1">
        <f>(teraterm[[#This Row],[Column2]]-Q$4)*$S$3*1000</f>
        <v>-45.166015624999993</v>
      </c>
      <c r="E3" s="1">
        <f>IF(ABS(VALUE(teraterm[[#This Row],[Column1]]))&lt;4096,VALUE(teraterm[[#This Row],[Column1]]),0)</f>
        <v>1568</v>
      </c>
      <c r="F3" s="1">
        <f>teraterm[[#This Row],[V(V)]]^2</f>
        <v>20652.552872657776</v>
      </c>
      <c r="J3" s="2" t="s">
        <v>9</v>
      </c>
      <c r="K3" s="2">
        <v>232.9</v>
      </c>
      <c r="L3" s="2" t="s">
        <v>11</v>
      </c>
      <c r="M3" s="1">
        <f>MIN(C:C)</f>
        <v>23.7996826171875</v>
      </c>
      <c r="N3" s="2" t="s">
        <v>12</v>
      </c>
      <c r="O3" s="1">
        <f>MAX(C:C)</f>
        <v>368.1199951171875</v>
      </c>
      <c r="P3" s="2" t="s">
        <v>18</v>
      </c>
      <c r="Q3" s="4">
        <f>2.5/4096</f>
        <v>6.103515625E-4</v>
      </c>
      <c r="R3" s="4">
        <f>1/(50*0.03)</f>
        <v>0.66666666666666663</v>
      </c>
      <c r="S3" s="6">
        <f>R3*Q3</f>
        <v>4.0690104166666663E-4</v>
      </c>
    </row>
    <row r="4" spans="1:20" x14ac:dyDescent="0.25">
      <c r="A4" s="7">
        <v>1828</v>
      </c>
      <c r="B4" s="2">
        <v>273</v>
      </c>
      <c r="C4" s="1">
        <f>(teraterm[[#This Row],[Value(V)]]+$K$2)*$S$2</f>
        <v>167.41845703125</v>
      </c>
      <c r="D4" s="1">
        <f>(teraterm[[#This Row],[Column2]]-Q$4)*$S$3*1000</f>
        <v>-35.400390625</v>
      </c>
      <c r="E4" s="1">
        <f>IF(ABS(VALUE(teraterm[[#This Row],[Column1]]))&lt;4096,VALUE(teraterm[[#This Row],[Column1]]),0)</f>
        <v>1828</v>
      </c>
      <c r="F4" s="1">
        <f>teraterm[[#This Row],[V(V)]]^2</f>
        <v>28028.939754724503</v>
      </c>
      <c r="J4" s="2" t="s">
        <v>13</v>
      </c>
      <c r="K4" s="4">
        <v>0.45</v>
      </c>
      <c r="L4" s="2" t="s">
        <v>10</v>
      </c>
      <c r="M4" s="5">
        <f>K3/K1 -1</f>
        <v>4.7523006868763762E-3</v>
      </c>
      <c r="N4" s="2" t="s">
        <v>2</v>
      </c>
      <c r="O4" s="1">
        <f>(O3+M3)/2</f>
        <v>195.9598388671875</v>
      </c>
      <c r="P4" s="2" t="s">
        <v>19</v>
      </c>
      <c r="Q4" s="1">
        <v>360</v>
      </c>
      <c r="R4" s="1">
        <f>AVERAGE(D:D)</f>
        <v>-22.289931511563861</v>
      </c>
    </row>
    <row r="5" spans="1:20" x14ac:dyDescent="0.25">
      <c r="A5" s="7">
        <v>2100</v>
      </c>
      <c r="B5" s="2">
        <v>316</v>
      </c>
      <c r="C5" s="1">
        <f>(teraterm[[#This Row],[Value(V)]]+$K$2)*$S$2</f>
        <v>192.22119140625</v>
      </c>
      <c r="D5" s="1">
        <f>(teraterm[[#This Row],[Column2]]-Q$4)*$S$3*1000</f>
        <v>-17.903645833333332</v>
      </c>
      <c r="E5" s="1">
        <f>IF(ABS(VALUE(teraterm[[#This Row],[Column1]]))&lt;4096,VALUE(teraterm[[#This Row],[Column1]]),0)</f>
        <v>2100</v>
      </c>
      <c r="F5" s="1">
        <f>teraterm[[#This Row],[V(V)]]^2</f>
        <v>36948.986425638199</v>
      </c>
    </row>
    <row r="6" spans="1:20" x14ac:dyDescent="0.25">
      <c r="A6" s="7">
        <v>2375</v>
      </c>
      <c r="B6" s="2">
        <v>375</v>
      </c>
      <c r="C6" s="1">
        <f>(teraterm[[#This Row],[Value(V)]]+$K$2)*$S$2</f>
        <v>217.2974853515625</v>
      </c>
      <c r="D6" s="1">
        <f>(teraterm[[#This Row],[Column2]]-Q$4)*$S$3*1000</f>
        <v>6.1035156249999991</v>
      </c>
      <c r="E6" s="1">
        <f>IF(ABS(VALUE(teraterm[[#This Row],[Column1]]))&lt;4096,VALUE(teraterm[[#This Row],[Column1]]),0)</f>
        <v>2375</v>
      </c>
      <c r="F6" s="1">
        <f>teraterm[[#This Row],[V(V)]]^2</f>
        <v>47218.197140112519</v>
      </c>
    </row>
    <row r="7" spans="1:20" x14ac:dyDescent="0.25">
      <c r="A7" s="7">
        <v>2623</v>
      </c>
      <c r="B7" s="2">
        <v>418</v>
      </c>
      <c r="C7" s="1">
        <f>(teraterm[[#This Row],[Value(V)]]+$K$2)*$S$2</f>
        <v>239.9117431640625</v>
      </c>
      <c r="D7" s="1">
        <f>(teraterm[[#This Row],[Column2]]-Q$4)*$S$3*1000</f>
        <v>23.600260416666664</v>
      </c>
      <c r="E7" s="1">
        <f>IF(ABS(VALUE(teraterm[[#This Row],[Column1]]))&lt;4096,VALUE(teraterm[[#This Row],[Column1]]),0)</f>
        <v>2623</v>
      </c>
      <c r="F7" s="1">
        <f>teraterm[[#This Row],[V(V)]]^2</f>
        <v>57557.64450801909</v>
      </c>
    </row>
    <row r="8" spans="1:20" x14ac:dyDescent="0.25">
      <c r="A8" s="7">
        <v>2862</v>
      </c>
      <c r="B8" s="2">
        <v>465</v>
      </c>
      <c r="C8" s="1">
        <f>(teraterm[[#This Row],[Value(V)]]+$K$2)*$S$2</f>
        <v>261.705322265625</v>
      </c>
      <c r="D8" s="1">
        <f>(teraterm[[#This Row],[Column2]]-Q$4)*$S$3*1000</f>
        <v>42.724609374999993</v>
      </c>
      <c r="E8" s="1">
        <f>IF(ABS(VALUE(teraterm[[#This Row],[Column1]]))&lt;4096,VALUE(teraterm[[#This Row],[Column1]]),0)</f>
        <v>2862</v>
      </c>
      <c r="F8" s="1">
        <f>teraterm[[#This Row],[V(V)]]^2</f>
        <v>68489.675702154636</v>
      </c>
    </row>
    <row r="9" spans="1:20" x14ac:dyDescent="0.25">
      <c r="A9" s="7">
        <v>3087</v>
      </c>
      <c r="B9" s="2">
        <v>505</v>
      </c>
      <c r="C9" s="1">
        <f>(teraterm[[#This Row],[Value(V)]]+$K$2)*$S$2</f>
        <v>282.2222900390625</v>
      </c>
      <c r="D9" s="1">
        <f>(teraterm[[#This Row],[Column2]]-Q$4)*$S$3*1000</f>
        <v>59.000651041666664</v>
      </c>
      <c r="E9" s="1">
        <f>IF(ABS(VALUE(teraterm[[#This Row],[Column1]]))&lt;4096,VALUE(teraterm[[#This Row],[Column1]]),0)</f>
        <v>3087</v>
      </c>
      <c r="F9" s="1">
        <f>teraterm[[#This Row],[V(V)]]^2</f>
        <v>79649.420994892716</v>
      </c>
    </row>
    <row r="10" spans="1:20" x14ac:dyDescent="0.25">
      <c r="A10" s="7">
        <v>3297</v>
      </c>
      <c r="B10" s="2">
        <v>531</v>
      </c>
      <c r="C10" s="1">
        <f>(teraterm[[#This Row],[Value(V)]]+$K$2)*$S$2</f>
        <v>301.3714599609375</v>
      </c>
      <c r="D10" s="1">
        <f>(teraterm[[#This Row],[Column2]]-Q$4)*$S$3*1000</f>
        <v>69.580078125</v>
      </c>
      <c r="E10" s="1">
        <f>IF(ABS(VALUE(teraterm[[#This Row],[Column1]]))&lt;4096,VALUE(teraterm[[#This Row],[Column1]]),0)</f>
        <v>3297</v>
      </c>
      <c r="F10" s="1">
        <f>teraterm[[#This Row],[V(V)]]^2</f>
        <v>90824.756878986955</v>
      </c>
    </row>
    <row r="11" spans="1:20" x14ac:dyDescent="0.25">
      <c r="A11" s="7">
        <v>3498</v>
      </c>
      <c r="B11" s="2">
        <v>571</v>
      </c>
      <c r="C11" s="1">
        <f>(teraterm[[#This Row],[Value(V)]]+$K$2)*$S$2</f>
        <v>319.699951171875</v>
      </c>
      <c r="D11" s="1">
        <f>(teraterm[[#This Row],[Column2]]-Q$4)*$S$3*1000</f>
        <v>85.856119791666657</v>
      </c>
      <c r="E11" s="1">
        <f>IF(ABS(VALUE(teraterm[[#This Row],[Column1]]))&lt;4096,VALUE(teraterm[[#This Row],[Column1]]),0)</f>
        <v>3498</v>
      </c>
      <c r="F11" s="1">
        <f>teraterm[[#This Row],[V(V)]]^2</f>
        <v>102208.05877929926</v>
      </c>
    </row>
    <row r="12" spans="1:20" x14ac:dyDescent="0.25">
      <c r="A12" s="7">
        <v>3666</v>
      </c>
      <c r="B12" s="2">
        <v>611</v>
      </c>
      <c r="C12" s="1">
        <f>(teraterm[[#This Row],[Value(V)]]+$K$2)*$S$2</f>
        <v>335.019287109375</v>
      </c>
      <c r="D12" s="1">
        <f>(teraterm[[#This Row],[Column2]]-Q$4)*$S$3*1000</f>
        <v>102.13216145833333</v>
      </c>
      <c r="E12" s="1">
        <f>IF(ABS(VALUE(teraterm[[#This Row],[Column1]]))&lt;4096,VALUE(teraterm[[#This Row],[Column1]]),0)</f>
        <v>3666</v>
      </c>
      <c r="F12" s="1">
        <f>teraterm[[#This Row],[V(V)]]^2</f>
        <v>112237.92273527384</v>
      </c>
    </row>
    <row r="13" spans="1:20" x14ac:dyDescent="0.25">
      <c r="A13" s="7">
        <v>3796</v>
      </c>
      <c r="B13" s="2">
        <v>636</v>
      </c>
      <c r="C13" s="1">
        <f>(teraterm[[#This Row],[Value(V)]]+$K$2)*$S$2</f>
        <v>346.87353515625</v>
      </c>
      <c r="D13" s="1">
        <f>(teraterm[[#This Row],[Column2]]-Q$4)*$S$3*1000</f>
        <v>112.30468749999999</v>
      </c>
      <c r="E13" s="1">
        <f>IF(ABS(VALUE(teraterm[[#This Row],[Column1]]))&lt;4096,VALUE(teraterm[[#This Row],[Column1]]),0)</f>
        <v>3796</v>
      </c>
      <c r="F13" s="1">
        <f>teraterm[[#This Row],[V(V)]]^2</f>
        <v>120321.2493917942</v>
      </c>
    </row>
    <row r="14" spans="1:20" x14ac:dyDescent="0.25">
      <c r="A14" s="7">
        <v>3913</v>
      </c>
      <c r="B14" s="2">
        <v>651</v>
      </c>
      <c r="C14" s="1">
        <f>(teraterm[[#This Row],[Value(V)]]+$K$2)*$S$2</f>
        <v>357.5423583984375</v>
      </c>
      <c r="D14" s="1">
        <f>(teraterm[[#This Row],[Column2]]-Q$4)*$S$3*1000</f>
        <v>118.40820312499999</v>
      </c>
      <c r="E14" s="1">
        <f>IF(ABS(VALUE(teraterm[[#This Row],[Column1]]))&lt;4096,VALUE(teraterm[[#This Row],[Column1]]),0)</f>
        <v>3913</v>
      </c>
      <c r="F14" s="1">
        <f>teraterm[[#This Row],[V(V)]]^2</f>
        <v>127836.53804911673</v>
      </c>
    </row>
    <row r="15" spans="1:20" x14ac:dyDescent="0.25">
      <c r="A15" s="7">
        <v>3964</v>
      </c>
      <c r="B15" s="2">
        <v>657</v>
      </c>
      <c r="C15" s="1">
        <f>(teraterm[[#This Row],[Value(V)]]+$K$2)*$S$2</f>
        <v>362.19287109375</v>
      </c>
      <c r="D15" s="1">
        <f>(teraterm[[#This Row],[Column2]]-Q$4)*$S$3*1000</f>
        <v>120.84960937499999</v>
      </c>
      <c r="E15" s="1">
        <f>IF(ABS(VALUE(teraterm[[#This Row],[Column1]]))&lt;4096,VALUE(teraterm[[#This Row],[Column1]]),0)</f>
        <v>3964</v>
      </c>
      <c r="F15" s="1">
        <f>teraterm[[#This Row],[V(V)]]^2</f>
        <v>131183.6758711338</v>
      </c>
    </row>
    <row r="16" spans="1:20" x14ac:dyDescent="0.25">
      <c r="A16" s="7">
        <v>3980</v>
      </c>
      <c r="B16" s="2">
        <v>645</v>
      </c>
      <c r="C16" s="1">
        <f>(teraterm[[#This Row],[Value(V)]]+$K$2)*$S$2</f>
        <v>363.65185546875</v>
      </c>
      <c r="D16" s="1">
        <f>(teraterm[[#This Row],[Column2]]-Q$4)*$S$3*1000</f>
        <v>115.96679687499999</v>
      </c>
      <c r="E16" s="1">
        <f>IF(ABS(VALUE(teraterm[[#This Row],[Column1]]))&lt;4096,VALUE(teraterm[[#This Row],[Column1]]),0)</f>
        <v>3980</v>
      </c>
      <c r="F16" s="1">
        <f>teraterm[[#This Row],[V(V)]]^2</f>
        <v>132242.67198586464</v>
      </c>
    </row>
    <row r="17" spans="1:6" x14ac:dyDescent="0.25">
      <c r="A17" s="7">
        <v>3988</v>
      </c>
      <c r="B17" s="2">
        <v>651</v>
      </c>
      <c r="C17" s="1">
        <f>(teraterm[[#This Row],[Value(V)]]+$K$2)*$S$2</f>
        <v>364.38134765625</v>
      </c>
      <c r="D17" s="1">
        <f>(teraterm[[#This Row],[Column2]]-Q$4)*$S$3*1000</f>
        <v>118.40820312499999</v>
      </c>
      <c r="E17" s="1">
        <f>IF(ABS(VALUE(teraterm[[#This Row],[Column1]]))&lt;4096,VALUE(teraterm[[#This Row],[Column1]]),0)</f>
        <v>3988</v>
      </c>
      <c r="F17" s="1">
        <f>teraterm[[#This Row],[V(V)]]^2</f>
        <v>132773.76651978493</v>
      </c>
    </row>
    <row r="18" spans="1:6" x14ac:dyDescent="0.25">
      <c r="A18" s="7">
        <v>3985</v>
      </c>
      <c r="B18" s="2">
        <v>645</v>
      </c>
      <c r="C18" s="1">
        <f>(teraterm[[#This Row],[Value(V)]]+$K$2)*$S$2</f>
        <v>364.1077880859375</v>
      </c>
      <c r="D18" s="1">
        <f>(teraterm[[#This Row],[Column2]]-Q$4)*$S$3*1000</f>
        <v>115.96679687499999</v>
      </c>
      <c r="E18" s="1">
        <f>IF(ABS(VALUE(teraterm[[#This Row],[Column1]]))&lt;4096,VALUE(teraterm[[#This Row],[Column1]]),0)</f>
        <v>3985</v>
      </c>
      <c r="F18" s="1">
        <f>teraterm[[#This Row],[V(V)]]^2</f>
        <v>132574.48134483397</v>
      </c>
    </row>
    <row r="19" spans="1:6" x14ac:dyDescent="0.25">
      <c r="A19" s="7">
        <v>3963</v>
      </c>
      <c r="B19" s="2">
        <v>635</v>
      </c>
      <c r="C19" s="1">
        <f>(teraterm[[#This Row],[Value(V)]]+$K$2)*$S$2</f>
        <v>362.1016845703125</v>
      </c>
      <c r="D19" s="1">
        <f>(teraterm[[#This Row],[Column2]]-Q$4)*$S$3*1000</f>
        <v>111.89778645833333</v>
      </c>
      <c r="E19" s="1">
        <f>IF(ABS(VALUE(teraterm[[#This Row],[Column1]]))&lt;4096,VALUE(teraterm[[#This Row],[Column1]]),0)</f>
        <v>3963</v>
      </c>
      <c r="F19" s="1">
        <f>teraterm[[#This Row],[V(V)]]^2</f>
        <v>131117.62996865809</v>
      </c>
    </row>
    <row r="20" spans="1:6" x14ac:dyDescent="0.25">
      <c r="A20" s="7">
        <v>3862</v>
      </c>
      <c r="B20" s="2">
        <v>630</v>
      </c>
      <c r="C20" s="1">
        <f>(teraterm[[#This Row],[Value(V)]]+$K$2)*$S$2</f>
        <v>352.891845703125</v>
      </c>
      <c r="D20" s="1">
        <f>(teraterm[[#This Row],[Column2]]-Q$4)*$S$3*1000</f>
        <v>109.86328124999999</v>
      </c>
      <c r="E20" s="1">
        <f>IF(ABS(VALUE(teraterm[[#This Row],[Column1]]))&lt;4096,VALUE(teraterm[[#This Row],[Column1]]),0)</f>
        <v>3862</v>
      </c>
      <c r="F20" s="1">
        <f>teraterm[[#This Row],[V(V)]]^2</f>
        <v>124532.65476375818</v>
      </c>
    </row>
    <row r="21" spans="1:6" x14ac:dyDescent="0.25">
      <c r="A21" s="7">
        <v>3679</v>
      </c>
      <c r="B21" s="2">
        <v>564</v>
      </c>
      <c r="C21" s="1">
        <f>(teraterm[[#This Row],[Value(V)]]+$K$2)*$S$2</f>
        <v>336.2047119140625</v>
      </c>
      <c r="D21" s="1">
        <f>(teraterm[[#This Row],[Column2]]-Q$4)*$S$3*1000</f>
        <v>83.007812499999986</v>
      </c>
      <c r="E21" s="1">
        <f>IF(ABS(VALUE(teraterm[[#This Row],[Column1]]))&lt;4096,VALUE(teraterm[[#This Row],[Column1]]),0)</f>
        <v>3679</v>
      </c>
      <c r="F21" s="1">
        <f>teraterm[[#This Row],[V(V)]]^2</f>
        <v>113033.60831321776</v>
      </c>
    </row>
    <row r="22" spans="1:6" x14ac:dyDescent="0.25">
      <c r="A22" s="7">
        <v>3491</v>
      </c>
      <c r="B22" s="2">
        <v>562</v>
      </c>
      <c r="C22" s="1">
        <f>(teraterm[[#This Row],[Value(V)]]+$K$2)*$S$2</f>
        <v>319.0616455078125</v>
      </c>
      <c r="D22" s="1">
        <f>(teraterm[[#This Row],[Column2]]-Q$4)*$S$3*1000</f>
        <v>82.194010416666657</v>
      </c>
      <c r="E22" s="1">
        <f>IF(ABS(VALUE(teraterm[[#This Row],[Column1]]))&lt;4096,VALUE(teraterm[[#This Row],[Column1]]),0)</f>
        <v>3491</v>
      </c>
      <c r="F22" s="1">
        <f>teraterm[[#This Row],[V(V)]]^2</f>
        <v>101800.33363415301</v>
      </c>
    </row>
    <row r="23" spans="1:6" x14ac:dyDescent="0.25">
      <c r="A23" s="7">
        <v>3296</v>
      </c>
      <c r="B23" s="2">
        <v>524</v>
      </c>
      <c r="C23" s="1">
        <f>(teraterm[[#This Row],[Value(V)]]+$K$2)*$S$2</f>
        <v>301.2802734375</v>
      </c>
      <c r="D23" s="1">
        <f>(teraterm[[#This Row],[Column2]]-Q$4)*$S$3*1000</f>
        <v>66.731770833333329</v>
      </c>
      <c r="E23" s="1">
        <f>IF(ABS(VALUE(teraterm[[#This Row],[Column1]]))&lt;4096,VALUE(teraterm[[#This Row],[Column1]]),0)</f>
        <v>3296</v>
      </c>
      <c r="F23" s="1">
        <f>teraterm[[#This Row],[V(V)]]^2</f>
        <v>90769.803162574768</v>
      </c>
    </row>
    <row r="24" spans="1:6" x14ac:dyDescent="0.25">
      <c r="A24" s="7">
        <v>3073</v>
      </c>
      <c r="B24" s="2">
        <v>502</v>
      </c>
      <c r="C24" s="1">
        <f>(teraterm[[#This Row],[Value(V)]]+$K$2)*$S$2</f>
        <v>280.9456787109375</v>
      </c>
      <c r="D24" s="1">
        <f>(teraterm[[#This Row],[Column2]]-Q$4)*$S$3*1000</f>
        <v>57.779947916666664</v>
      </c>
      <c r="E24" s="1">
        <f>IF(ABS(VALUE(teraterm[[#This Row],[Column1]]))&lt;4096,VALUE(teraterm[[#This Row],[Column1]]),0)</f>
        <v>3073</v>
      </c>
      <c r="F24" s="1">
        <f>teraterm[[#This Row],[V(V)]]^2</f>
        <v>78930.47438634932</v>
      </c>
    </row>
    <row r="25" spans="1:6" x14ac:dyDescent="0.25">
      <c r="A25" s="7">
        <v>2837</v>
      </c>
      <c r="B25" s="2">
        <v>431</v>
      </c>
      <c r="C25" s="1">
        <f>(teraterm[[#This Row],[Value(V)]]+$K$2)*$S$2</f>
        <v>259.4256591796875</v>
      </c>
      <c r="D25" s="1">
        <f>(teraterm[[#This Row],[Column2]]-Q$4)*$S$3*1000</f>
        <v>28.889973958333332</v>
      </c>
      <c r="E25" s="1">
        <f>IF(ABS(VALUE(teraterm[[#This Row],[Column1]]))&lt;4096,VALUE(teraterm[[#This Row],[Column1]]),0)</f>
        <v>2837</v>
      </c>
      <c r="F25" s="1">
        <f>teraterm[[#This Row],[V(V)]]^2</f>
        <v>67301.672640815377</v>
      </c>
    </row>
    <row r="26" spans="1:6" x14ac:dyDescent="0.25">
      <c r="A26" s="7">
        <v>2587</v>
      </c>
      <c r="B26" s="2">
        <v>407</v>
      </c>
      <c r="C26" s="1">
        <f>(teraterm[[#This Row],[Value(V)]]+$K$2)*$S$2</f>
        <v>236.6290283203125</v>
      </c>
      <c r="D26" s="1">
        <f>(teraterm[[#This Row],[Column2]]-Q$4)*$S$3*1000</f>
        <v>19.124348958333332</v>
      </c>
      <c r="E26" s="1">
        <f>IF(ABS(VALUE(teraterm[[#This Row],[Column1]]))&lt;4096,VALUE(teraterm[[#This Row],[Column1]]),0)</f>
        <v>2587</v>
      </c>
      <c r="F26" s="1">
        <f>teraterm[[#This Row],[V(V)]]^2</f>
        <v>55993.297043815255</v>
      </c>
    </row>
    <row r="27" spans="1:6" x14ac:dyDescent="0.25">
      <c r="A27" s="7">
        <v>2319</v>
      </c>
      <c r="B27" s="2">
        <v>346</v>
      </c>
      <c r="C27" s="1">
        <f>(teraterm[[#This Row],[Value(V)]]+$K$2)*$S$2</f>
        <v>212.1910400390625</v>
      </c>
      <c r="D27" s="1">
        <f>(teraterm[[#This Row],[Column2]]-Q$4)*$S$3*1000</f>
        <v>-5.696614583333333</v>
      </c>
      <c r="E27" s="1">
        <f>IF(ABS(VALUE(teraterm[[#This Row],[Column1]]))&lt;4096,VALUE(teraterm[[#This Row],[Column1]]),0)</f>
        <v>2319</v>
      </c>
      <c r="F27" s="1">
        <f>teraterm[[#This Row],[V(V)]]^2</f>
        <v>45025.037472859025</v>
      </c>
    </row>
    <row r="28" spans="1:6" x14ac:dyDescent="0.25">
      <c r="A28" s="7">
        <v>2042</v>
      </c>
      <c r="B28" s="2">
        <v>322</v>
      </c>
      <c r="C28" s="1">
        <f>(teraterm[[#This Row],[Value(V)]]+$K$2)*$S$2</f>
        <v>186.932373046875</v>
      </c>
      <c r="D28" s="1">
        <f>(teraterm[[#This Row],[Column2]]-Q$4)*$S$3*1000</f>
        <v>-15.462239583333332</v>
      </c>
      <c r="E28" s="1">
        <f>IF(ABS(VALUE(teraterm[[#This Row],[Column1]]))&lt;4096,VALUE(teraterm[[#This Row],[Column1]]),0)</f>
        <v>2042</v>
      </c>
      <c r="F28" s="1">
        <f>teraterm[[#This Row],[V(V)]]^2</f>
        <v>34943.712092936039</v>
      </c>
    </row>
    <row r="29" spans="1:6" x14ac:dyDescent="0.25">
      <c r="A29" s="7">
        <v>1777</v>
      </c>
      <c r="B29" s="2">
        <v>263</v>
      </c>
      <c r="C29" s="1">
        <f>(teraterm[[#This Row],[Value(V)]]+$K$2)*$S$2</f>
        <v>162.7679443359375</v>
      </c>
      <c r="D29" s="1">
        <f>(teraterm[[#This Row],[Column2]]-Q$4)*$S$3*1000</f>
        <v>-39.469401041666664</v>
      </c>
      <c r="E29" s="1">
        <f>IF(ABS(VALUE(teraterm[[#This Row],[Column1]]))&lt;4096,VALUE(teraterm[[#This Row],[Column1]]),0)</f>
        <v>1777</v>
      </c>
      <c r="F29" s="1">
        <f>teraterm[[#This Row],[V(V)]]^2</f>
        <v>26493.403703346848</v>
      </c>
    </row>
    <row r="30" spans="1:6" x14ac:dyDescent="0.25">
      <c r="A30" s="7">
        <v>1526</v>
      </c>
      <c r="B30" s="2">
        <v>233</v>
      </c>
      <c r="C30" s="1">
        <f>(teraterm[[#This Row],[Value(V)]]+$K$2)*$S$2</f>
        <v>139.880126953125</v>
      </c>
      <c r="D30" s="1">
        <f>(teraterm[[#This Row],[Column2]]-Q$4)*$S$3*1000</f>
        <v>-51.676432291666664</v>
      </c>
      <c r="E30" s="1">
        <f>IF(ABS(VALUE(teraterm[[#This Row],[Column1]]))&lt;4096,VALUE(teraterm[[#This Row],[Column1]]),0)</f>
        <v>1526</v>
      </c>
      <c r="F30" s="1">
        <f>teraterm[[#This Row],[V(V)]]^2</f>
        <v>19566.449916422367</v>
      </c>
    </row>
    <row r="31" spans="1:6" x14ac:dyDescent="0.25">
      <c r="A31" s="7">
        <v>1287</v>
      </c>
      <c r="B31" s="2">
        <v>183</v>
      </c>
      <c r="C31" s="1">
        <f>(teraterm[[#This Row],[Value(V)]]+$K$2)*$S$2</f>
        <v>118.0865478515625</v>
      </c>
      <c r="D31" s="1">
        <f>(teraterm[[#This Row],[Column2]]-Q$4)*$S$3*1000</f>
        <v>-72.021484375</v>
      </c>
      <c r="E31" s="1">
        <f>IF(ABS(VALUE(teraterm[[#This Row],[Column1]]))&lt;4096,VALUE(teraterm[[#This Row],[Column1]]),0)</f>
        <v>1287</v>
      </c>
      <c r="F31" s="1">
        <f>teraterm[[#This Row],[V(V)]]^2</f>
        <v>13944.43278349936</v>
      </c>
    </row>
    <row r="32" spans="1:6" x14ac:dyDescent="0.25">
      <c r="A32" s="7">
        <v>1063</v>
      </c>
      <c r="B32" s="2">
        <v>127</v>
      </c>
      <c r="C32" s="1">
        <f>(teraterm[[#This Row],[Value(V)]]+$K$2)*$S$2</f>
        <v>97.6607666015625</v>
      </c>
      <c r="D32" s="1">
        <f>(teraterm[[#This Row],[Column2]]-Q$4)*$S$3*1000</f>
        <v>-94.807942708333329</v>
      </c>
      <c r="E32" s="1">
        <f>IF(ABS(VALUE(teraterm[[#This Row],[Column1]]))&lt;4096,VALUE(teraterm[[#This Row],[Column1]]),0)</f>
        <v>1063</v>
      </c>
      <c r="F32" s="1">
        <f>teraterm[[#This Row],[V(V)]]^2</f>
        <v>9537.6253332048655</v>
      </c>
    </row>
    <row r="33" spans="1:6" x14ac:dyDescent="0.25">
      <c r="A33" s="7">
        <v>848</v>
      </c>
      <c r="B33" s="2">
        <v>58</v>
      </c>
      <c r="C33" s="1">
        <f>(teraterm[[#This Row],[Value(V)]]+$K$2)*$S$2</f>
        <v>78.0556640625</v>
      </c>
      <c r="D33" s="1">
        <f>(teraterm[[#This Row],[Column2]]-Q$4)*$S$3*1000</f>
        <v>-122.88411458333333</v>
      </c>
      <c r="E33" s="1">
        <f>IF(ABS(VALUE(teraterm[[#This Row],[Column1]]))&lt;4096,VALUE(teraterm[[#This Row],[Column1]]),0)</f>
        <v>848</v>
      </c>
      <c r="F33" s="1">
        <f>teraterm[[#This Row],[V(V)]]^2</f>
        <v>6092.686692237854</v>
      </c>
    </row>
    <row r="34" spans="1:6" x14ac:dyDescent="0.25">
      <c r="A34" s="7">
        <v>652</v>
      </c>
      <c r="B34" s="2">
        <v>11</v>
      </c>
      <c r="C34" s="1">
        <f>(teraterm[[#This Row],[Value(V)]]+$K$2)*$S$2</f>
        <v>60.18310546875</v>
      </c>
      <c r="D34" s="1">
        <f>(teraterm[[#This Row],[Column2]]-Q$4)*$S$3*1000</f>
        <v>-142.00846354166666</v>
      </c>
      <c r="E34" s="1">
        <f>IF(ABS(VALUE(teraterm[[#This Row],[Column1]]))&lt;4096,VALUE(teraterm[[#This Row],[Column1]]),0)</f>
        <v>652</v>
      </c>
      <c r="F34" s="1">
        <f>teraterm[[#This Row],[V(V)]]^2</f>
        <v>3622.0061838626862</v>
      </c>
    </row>
    <row r="35" spans="1:6" x14ac:dyDescent="0.25">
      <c r="A35" s="7">
        <v>503</v>
      </c>
      <c r="B35" s="2">
        <v>-30</v>
      </c>
      <c r="C35" s="1">
        <f>(teraterm[[#This Row],[Value(V)]]+$K$2)*$S$2</f>
        <v>46.5963134765625</v>
      </c>
      <c r="D35" s="1">
        <f>(teraterm[[#This Row],[Column2]]-Q$4)*$S$3*1000</f>
        <v>-158.69140624999997</v>
      </c>
      <c r="E35" s="1">
        <f>IF(ABS(VALUE(teraterm[[#This Row],[Column1]]))&lt;4096,VALUE(teraterm[[#This Row],[Column1]]),0)</f>
        <v>503</v>
      </c>
      <c r="F35" s="1">
        <f>teraterm[[#This Row],[V(V)]]^2</f>
        <v>2171.2164296060801</v>
      </c>
    </row>
    <row r="36" spans="1:6" x14ac:dyDescent="0.25">
      <c r="A36" s="7">
        <v>370</v>
      </c>
      <c r="B36" s="2">
        <v>-82</v>
      </c>
      <c r="C36" s="1">
        <f>(teraterm[[#This Row],[Value(V)]]+$K$2)*$S$2</f>
        <v>34.468505859375</v>
      </c>
      <c r="D36" s="1">
        <f>(teraterm[[#This Row],[Column2]]-Q$4)*$S$3*1000</f>
        <v>-179.85026041666666</v>
      </c>
      <c r="E36" s="1">
        <f>IF(ABS(VALUE(teraterm[[#This Row],[Column1]]))&lt;4096,VALUE(teraterm[[#This Row],[Column1]]),0)</f>
        <v>370</v>
      </c>
      <c r="F36" s="1">
        <f>teraterm[[#This Row],[V(V)]]^2</f>
        <v>1188.0778961777687</v>
      </c>
    </row>
    <row r="37" spans="1:6" x14ac:dyDescent="0.25">
      <c r="A37" s="7">
        <v>289</v>
      </c>
      <c r="B37" s="2">
        <v>-97</v>
      </c>
      <c r="C37" s="1">
        <f>(teraterm[[#This Row],[Value(V)]]+$K$2)*$S$2</f>
        <v>27.0823974609375</v>
      </c>
      <c r="D37" s="1">
        <f>(teraterm[[#This Row],[Column2]]-Q$4)*$S$3*1000</f>
        <v>-185.95377604166666</v>
      </c>
      <c r="E37" s="1">
        <f>IF(ABS(VALUE(teraterm[[#This Row],[Column1]]))&lt;4096,VALUE(teraterm[[#This Row],[Column1]]),0)</f>
        <v>289</v>
      </c>
      <c r="F37" s="1">
        <f>teraterm[[#This Row],[V(V)]]^2</f>
        <v>733.45625223219395</v>
      </c>
    </row>
    <row r="38" spans="1:6" x14ac:dyDescent="0.25">
      <c r="A38" s="7">
        <v>268</v>
      </c>
      <c r="B38" s="2">
        <v>-107</v>
      </c>
      <c r="C38" s="1">
        <f>(teraterm[[#This Row],[Value(V)]]+$K$2)*$S$2</f>
        <v>25.16748046875</v>
      </c>
      <c r="D38" s="1">
        <f>(teraterm[[#This Row],[Column2]]-Q$4)*$S$3*1000</f>
        <v>-190.02278645833331</v>
      </c>
      <c r="E38" s="1">
        <f>IF(ABS(VALUE(teraterm[[#This Row],[Column1]]))&lt;4096,VALUE(teraterm[[#This Row],[Column1]]),0)</f>
        <v>268</v>
      </c>
      <c r="F38" s="1">
        <f>teraterm[[#This Row],[V(V)]]^2</f>
        <v>633.40207314491272</v>
      </c>
    </row>
    <row r="39" spans="1:6" x14ac:dyDescent="0.25">
      <c r="A39" s="7">
        <v>262</v>
      </c>
      <c r="B39" s="2">
        <v>-100</v>
      </c>
      <c r="C39" s="1">
        <f>(teraterm[[#This Row],[Value(V)]]+$K$2)*$S$2</f>
        <v>24.620361328125</v>
      </c>
      <c r="D39" s="1">
        <f>(teraterm[[#This Row],[Column2]]-Q$4)*$S$3*1000</f>
        <v>-187.17447916666666</v>
      </c>
      <c r="E39" s="1">
        <f>IF(ABS(VALUE(teraterm[[#This Row],[Column1]]))&lt;4096,VALUE(teraterm[[#This Row],[Column1]]),0)</f>
        <v>262</v>
      </c>
      <c r="F39" s="1">
        <f>teraterm[[#This Row],[V(V)]]^2</f>
        <v>606.16219192743301</v>
      </c>
    </row>
    <row r="40" spans="1:6" x14ac:dyDescent="0.25">
      <c r="A40" s="7">
        <v>267</v>
      </c>
      <c r="B40" s="2">
        <v>-107</v>
      </c>
      <c r="C40" s="1">
        <f>(teraterm[[#This Row],[Value(V)]]+$K$2)*$S$2</f>
        <v>25.0762939453125</v>
      </c>
      <c r="D40" s="1">
        <f>(teraterm[[#This Row],[Column2]]-Q$4)*$S$3*1000</f>
        <v>-190.02278645833331</v>
      </c>
      <c r="E40" s="1">
        <f>IF(ABS(VALUE(teraterm[[#This Row],[Column1]]))&lt;4096,VALUE(teraterm[[#This Row],[Column1]]),0)</f>
        <v>267</v>
      </c>
      <c r="F40" s="1">
        <f>teraterm[[#This Row],[V(V)]]^2</f>
        <v>628.82051803171635</v>
      </c>
    </row>
    <row r="41" spans="1:6" x14ac:dyDescent="0.25">
      <c r="A41" s="7">
        <v>288</v>
      </c>
      <c r="B41" s="2">
        <v>-86</v>
      </c>
      <c r="C41" s="1">
        <f>(teraterm[[#This Row],[Value(V)]]+$K$2)*$S$2</f>
        <v>26.9912109375</v>
      </c>
      <c r="D41" s="1">
        <f>(teraterm[[#This Row],[Column2]]-Q$4)*$S$3*1000</f>
        <v>-181.47786458333331</v>
      </c>
      <c r="E41" s="1">
        <f>IF(ABS(VALUE(teraterm[[#This Row],[Column1]]))&lt;4096,VALUE(teraterm[[#This Row],[Column1]]),0)</f>
        <v>288</v>
      </c>
      <c r="F41" s="1">
        <f>teraterm[[#This Row],[V(V)]]^2</f>
        <v>728.52546787261963</v>
      </c>
    </row>
    <row r="42" spans="1:6" x14ac:dyDescent="0.25">
      <c r="A42" s="7">
        <v>2886</v>
      </c>
      <c r="B42" s="2">
        <v>434</v>
      </c>
      <c r="C42" s="1">
        <f>(teraterm[[#This Row],[Value(V)]]+$K$2)*$S$2</f>
        <v>263.893798828125</v>
      </c>
      <c r="D42" s="1">
        <f>(teraterm[[#This Row],[Column2]]-Q$4)*$S$3*1000</f>
        <v>30.110677083333332</v>
      </c>
      <c r="E42" s="1">
        <f>IF(ABS(VALUE(teraterm[[#This Row],[Column1]]))&lt;4096,VALUE(teraterm[[#This Row],[Column1]]),0)</f>
        <v>2886</v>
      </c>
      <c r="F42" s="1">
        <f>teraterm[[#This Row],[V(V)]]^2</f>
        <v>69639.937059938908</v>
      </c>
    </row>
    <row r="43" spans="1:6" x14ac:dyDescent="0.25">
      <c r="A43" s="7">
        <v>3115</v>
      </c>
      <c r="B43" s="2">
        <v>484</v>
      </c>
      <c r="C43" s="1">
        <f>(teraterm[[#This Row],[Value(V)]]+$K$2)*$S$2</f>
        <v>284.7755126953125</v>
      </c>
      <c r="D43" s="1">
        <f>(teraterm[[#This Row],[Column2]]-Q$4)*$S$3*1000</f>
        <v>50.455729166666664</v>
      </c>
      <c r="E43" s="1">
        <f>IF(ABS(VALUE(teraterm[[#This Row],[Column1]]))&lt;4096,VALUE(teraterm[[#This Row],[Column1]]),0)</f>
        <v>3115</v>
      </c>
      <c r="F43" s="1">
        <f>teraterm[[#This Row],[V(V)]]^2</f>
        <v>81097.092630878091</v>
      </c>
    </row>
    <row r="44" spans="1:6" x14ac:dyDescent="0.25">
      <c r="A44" s="7">
        <v>3329</v>
      </c>
      <c r="B44" s="2">
        <v>530</v>
      </c>
      <c r="C44" s="1">
        <f>(teraterm[[#This Row],[Value(V)]]+$K$2)*$S$2</f>
        <v>304.2894287109375</v>
      </c>
      <c r="D44" s="1">
        <f>(teraterm[[#This Row],[Column2]]-Q$4)*$S$3*1000</f>
        <v>69.173177083333329</v>
      </c>
      <c r="E44" s="1">
        <f>IF(ABS(VALUE(teraterm[[#This Row],[Column1]]))&lt;4096,VALUE(teraterm[[#This Row],[Column1]]),0)</f>
        <v>3329</v>
      </c>
      <c r="F44" s="1">
        <f>teraterm[[#This Row],[V(V)]]^2</f>
        <v>92592.056425228715</v>
      </c>
    </row>
    <row r="45" spans="1:6" x14ac:dyDescent="0.25">
      <c r="A45" s="7">
        <v>3530</v>
      </c>
      <c r="B45" s="2">
        <v>574</v>
      </c>
      <c r="C45" s="1">
        <f>(teraterm[[#This Row],[Value(V)]]+$K$2)*$S$2</f>
        <v>322.617919921875</v>
      </c>
      <c r="D45" s="1">
        <f>(teraterm[[#This Row],[Column2]]-Q$4)*$S$3*1000</f>
        <v>87.076822916666657</v>
      </c>
      <c r="E45" s="1">
        <f>IF(ABS(VALUE(teraterm[[#This Row],[Column1]]))&lt;4096,VALUE(teraterm[[#This Row],[Column1]]),0)</f>
        <v>3530</v>
      </c>
      <c r="F45" s="1">
        <f>teraterm[[#This Row],[V(V)]]^2</f>
        <v>104082.32225471735</v>
      </c>
    </row>
    <row r="46" spans="1:6" x14ac:dyDescent="0.25">
      <c r="A46" s="7">
        <v>3700</v>
      </c>
      <c r="B46" s="2">
        <v>619</v>
      </c>
      <c r="C46" s="1">
        <f>(teraterm[[#This Row],[Value(V)]]+$K$2)*$S$2</f>
        <v>338.11962890625</v>
      </c>
      <c r="D46" s="1">
        <f>(teraterm[[#This Row],[Column2]]-Q$4)*$S$3*1000</f>
        <v>105.38736979166666</v>
      </c>
      <c r="E46" s="1">
        <f>IF(ABS(VALUE(teraterm[[#This Row],[Column1]]))&lt;4096,VALUE(teraterm[[#This Row],[Column1]]),0)</f>
        <v>3700</v>
      </c>
      <c r="F46" s="1">
        <f>teraterm[[#This Row],[V(V)]]^2</f>
        <v>114324.88345170021</v>
      </c>
    </row>
    <row r="47" spans="1:6" x14ac:dyDescent="0.25">
      <c r="A47" s="7">
        <v>3832</v>
      </c>
      <c r="B47" s="2">
        <v>638</v>
      </c>
      <c r="C47" s="1">
        <f>(teraterm[[#This Row],[Value(V)]]+$K$2)*$S$2</f>
        <v>350.15625</v>
      </c>
      <c r="D47" s="1">
        <f>(teraterm[[#This Row],[Column2]]-Q$4)*$S$3*1000</f>
        <v>113.11848958333333</v>
      </c>
      <c r="E47" s="1">
        <f>IF(ABS(VALUE(teraterm[[#This Row],[Column1]]))&lt;4096,VALUE(teraterm[[#This Row],[Column1]]),0)</f>
        <v>3832</v>
      </c>
      <c r="F47" s="1">
        <f>teraterm[[#This Row],[V(V)]]^2</f>
        <v>122609.3994140625</v>
      </c>
    </row>
    <row r="48" spans="1:6" x14ac:dyDescent="0.25">
      <c r="A48" s="7">
        <v>3952</v>
      </c>
      <c r="B48" s="2">
        <v>659</v>
      </c>
      <c r="C48" s="1">
        <f>(teraterm[[#This Row],[Value(V)]]+$K$2)*$S$2</f>
        <v>361.0986328125</v>
      </c>
      <c r="D48" s="1">
        <f>(teraterm[[#This Row],[Column2]]-Q$4)*$S$3*1000</f>
        <v>121.66341145833333</v>
      </c>
      <c r="E48" s="1">
        <f>IF(ABS(VALUE(teraterm[[#This Row],[Column1]]))&lt;4096,VALUE(teraterm[[#This Row],[Column1]]),0)</f>
        <v>3952</v>
      </c>
      <c r="F48" s="1">
        <f>teraterm[[#This Row],[V(V)]]^2</f>
        <v>130392.2226190567</v>
      </c>
    </row>
    <row r="49" spans="1:6" x14ac:dyDescent="0.25">
      <c r="A49" s="7">
        <v>4004</v>
      </c>
      <c r="B49" s="2">
        <v>667</v>
      </c>
      <c r="C49" s="1">
        <f>(teraterm[[#This Row],[Value(V)]]+$K$2)*$S$2</f>
        <v>365.84033203125</v>
      </c>
      <c r="D49" s="1">
        <f>(teraterm[[#This Row],[Column2]]-Q$4)*$S$3*1000</f>
        <v>124.91861979166666</v>
      </c>
      <c r="E49" s="1">
        <f>IF(ABS(VALUE(teraterm[[#This Row],[Column1]]))&lt;4096,VALUE(teraterm[[#This Row],[Column1]]),0)</f>
        <v>4004</v>
      </c>
      <c r="F49" s="1">
        <f>teraterm[[#This Row],[V(V)]]^2</f>
        <v>133839.14854073524</v>
      </c>
    </row>
    <row r="50" spans="1:6" x14ac:dyDescent="0.25">
      <c r="A50" s="7">
        <v>4020</v>
      </c>
      <c r="B50" s="2">
        <v>664</v>
      </c>
      <c r="C50" s="1">
        <f>(teraterm[[#This Row],[Value(V)]]+$K$2)*$S$2</f>
        <v>367.29931640625</v>
      </c>
      <c r="D50" s="1">
        <f>(teraterm[[#This Row],[Column2]]-Q$4)*$S$3*1000</f>
        <v>123.69791666666666</v>
      </c>
      <c r="E50" s="1">
        <f>IF(ABS(VALUE(teraterm[[#This Row],[Column1]]))&lt;4096,VALUE(teraterm[[#This Row],[Column1]]),0)</f>
        <v>4020</v>
      </c>
      <c r="F50" s="1">
        <f>teraterm[[#This Row],[V(V)]]^2</f>
        <v>134908.78783249855</v>
      </c>
    </row>
    <row r="51" spans="1:6" x14ac:dyDescent="0.25">
      <c r="A51" s="7">
        <v>4029</v>
      </c>
      <c r="B51" s="2">
        <v>649</v>
      </c>
      <c r="C51" s="1">
        <f>(teraterm[[#This Row],[Value(V)]]+$K$2)*$S$2</f>
        <v>368.1199951171875</v>
      </c>
      <c r="D51" s="1">
        <f>(teraterm[[#This Row],[Column2]]-Q$4)*$S$3*1000</f>
        <v>117.59440104166666</v>
      </c>
      <c r="E51" s="1">
        <f>IF(ABS(VALUE(teraterm[[#This Row],[Column1]]))&lt;4096,VALUE(teraterm[[#This Row],[Column1]]),0)</f>
        <v>4029</v>
      </c>
      <c r="F51" s="1">
        <f>teraterm[[#This Row],[V(V)]]^2</f>
        <v>135512.33080507815</v>
      </c>
    </row>
    <row r="52" spans="1:6" x14ac:dyDescent="0.25">
      <c r="A52" s="7">
        <v>4027</v>
      </c>
      <c r="B52" s="2">
        <v>657</v>
      </c>
      <c r="C52" s="1">
        <f>(teraterm[[#This Row],[Value(V)]]+$K$2)*$S$2</f>
        <v>367.9376220703125</v>
      </c>
      <c r="D52" s="1">
        <f>(teraterm[[#This Row],[Column2]]-Q$4)*$S$3*1000</f>
        <v>120.84960937499999</v>
      </c>
      <c r="E52" s="1">
        <f>IF(ABS(VALUE(teraterm[[#This Row],[Column1]]))&lt;4096,VALUE(teraterm[[#This Row],[Column1]]),0)</f>
        <v>4027</v>
      </c>
      <c r="F52" s="1">
        <f>teraterm[[#This Row],[V(V)]]^2</f>
        <v>135378.09373475611</v>
      </c>
    </row>
    <row r="53" spans="1:6" x14ac:dyDescent="0.25">
      <c r="A53" s="7">
        <v>4003</v>
      </c>
      <c r="B53" s="2">
        <v>641</v>
      </c>
      <c r="C53" s="1">
        <f>(teraterm[[#This Row],[Value(V)]]+$K$2)*$S$2</f>
        <v>365.7491455078125</v>
      </c>
      <c r="D53" s="1">
        <f>(teraterm[[#This Row],[Column2]]-Q$4)*$S$3*1000</f>
        <v>114.33919270833333</v>
      </c>
      <c r="E53" s="1">
        <f>IF(ABS(VALUE(teraterm[[#This Row],[Column1]]))&lt;4096,VALUE(teraterm[[#This Row],[Column1]]),0)</f>
        <v>4003</v>
      </c>
      <c r="F53" s="1">
        <f>teraterm[[#This Row],[V(V)]]^2</f>
        <v>133772.437439695</v>
      </c>
    </row>
    <row r="54" spans="1:6" x14ac:dyDescent="0.25">
      <c r="A54" s="7">
        <v>3902</v>
      </c>
      <c r="B54" s="2">
        <v>630</v>
      </c>
      <c r="C54" s="1">
        <f>(teraterm[[#This Row],[Value(V)]]+$K$2)*$S$2</f>
        <v>356.539306640625</v>
      </c>
      <c r="D54" s="1">
        <f>(teraterm[[#This Row],[Column2]]-Q$4)*$S$3*1000</f>
        <v>109.86328124999999</v>
      </c>
      <c r="E54" s="1">
        <f>IF(ABS(VALUE(teraterm[[#This Row],[Column1]]))&lt;4096,VALUE(teraterm[[#This Row],[Column1]]),0)</f>
        <v>3902</v>
      </c>
      <c r="F54" s="1">
        <f>teraterm[[#This Row],[V(V)]]^2</f>
        <v>127120.27717977762</v>
      </c>
    </row>
    <row r="55" spans="1:6" x14ac:dyDescent="0.25">
      <c r="A55" s="7">
        <v>3718</v>
      </c>
      <c r="B55" s="2">
        <v>572</v>
      </c>
      <c r="C55" s="1">
        <f>(teraterm[[#This Row],[Value(V)]]+$K$2)*$S$2</f>
        <v>339.760986328125</v>
      </c>
      <c r="D55" s="1">
        <f>(teraterm[[#This Row],[Column2]]-Q$4)*$S$3*1000</f>
        <v>86.263020833333329</v>
      </c>
      <c r="E55" s="1">
        <f>IF(ABS(VALUE(teraterm[[#This Row],[Column1]]))&lt;4096,VALUE(teraterm[[#This Row],[Column1]]),0)</f>
        <v>3718</v>
      </c>
      <c r="F55" s="1">
        <f>teraterm[[#This Row],[V(V)]]^2</f>
        <v>115437.52783066034</v>
      </c>
    </row>
    <row r="56" spans="1:6" x14ac:dyDescent="0.25">
      <c r="A56" s="7">
        <v>3527</v>
      </c>
      <c r="B56" s="2">
        <v>567</v>
      </c>
      <c r="C56" s="1">
        <f>(teraterm[[#This Row],[Value(V)]]+$K$2)*$S$2</f>
        <v>322.3443603515625</v>
      </c>
      <c r="D56" s="1">
        <f>(teraterm[[#This Row],[Column2]]-Q$4)*$S$3*1000</f>
        <v>84.228515624999986</v>
      </c>
      <c r="E56" s="1">
        <f>IF(ABS(VALUE(teraterm[[#This Row],[Column1]]))&lt;4096,VALUE(teraterm[[#This Row],[Column1]]),0)</f>
        <v>3527</v>
      </c>
      <c r="F56" s="1">
        <f>teraterm[[#This Row],[V(V)]]^2</f>
        <v>103905.88665045798</v>
      </c>
    </row>
    <row r="57" spans="1:6" x14ac:dyDescent="0.25">
      <c r="A57" s="7">
        <v>3328</v>
      </c>
      <c r="B57" s="2">
        <v>526</v>
      </c>
      <c r="C57" s="1">
        <f>(teraterm[[#This Row],[Value(V)]]+$K$2)*$S$2</f>
        <v>304.1982421875</v>
      </c>
      <c r="D57" s="1">
        <f>(teraterm[[#This Row],[Column2]]-Q$4)*$S$3*1000</f>
        <v>67.545572916666657</v>
      </c>
      <c r="E57" s="1">
        <f>IF(ABS(VALUE(teraterm[[#This Row],[Column1]]))&lt;4096,VALUE(teraterm[[#This Row],[Column1]]),0)</f>
        <v>3328</v>
      </c>
      <c r="F57" s="1">
        <f>teraterm[[#This Row],[V(V)]]^2</f>
        <v>92536.570549964905</v>
      </c>
    </row>
    <row r="58" spans="1:6" x14ac:dyDescent="0.25">
      <c r="A58" s="7">
        <v>3104</v>
      </c>
      <c r="B58" s="2">
        <v>485</v>
      </c>
      <c r="C58" s="1">
        <f>(teraterm[[#This Row],[Value(V)]]+$K$2)*$S$2</f>
        <v>283.7724609375</v>
      </c>
      <c r="D58" s="1">
        <f>(teraterm[[#This Row],[Column2]]-Q$4)*$S$3*1000</f>
        <v>50.862630208333329</v>
      </c>
      <c r="E58" s="1">
        <f>IF(ABS(VALUE(teraterm[[#This Row],[Column1]]))&lt;4096,VALUE(teraterm[[#This Row],[Column1]]),0)</f>
        <v>3104</v>
      </c>
      <c r="F58" s="1">
        <f>teraterm[[#This Row],[V(V)]]^2</f>
        <v>80526.809586524963</v>
      </c>
    </row>
    <row r="59" spans="1:6" x14ac:dyDescent="0.25">
      <c r="A59" s="7">
        <v>2869</v>
      </c>
      <c r="B59" s="2">
        <v>450</v>
      </c>
      <c r="C59" s="1">
        <f>(teraterm[[#This Row],[Value(V)]]+$K$2)*$S$2</f>
        <v>262.3436279296875</v>
      </c>
      <c r="D59" s="1">
        <f>(teraterm[[#This Row],[Column2]]-Q$4)*$S$3*1000</f>
        <v>36.62109375</v>
      </c>
      <c r="E59" s="1">
        <f>IF(ABS(VALUE(teraterm[[#This Row],[Column1]]))&lt;4096,VALUE(teraterm[[#This Row],[Column1]]),0)</f>
        <v>2869</v>
      </c>
      <c r="F59" s="1">
        <f>teraterm[[#This Row],[V(V)]]^2</f>
        <v>68824.179115310311</v>
      </c>
    </row>
    <row r="60" spans="1:6" x14ac:dyDescent="0.25">
      <c r="A60" s="7">
        <v>2618</v>
      </c>
      <c r="B60" s="2">
        <v>397</v>
      </c>
      <c r="C60" s="1">
        <f>(teraterm[[#This Row],[Value(V)]]+$K$2)*$S$2</f>
        <v>239.455810546875</v>
      </c>
      <c r="D60" s="1">
        <f>(teraterm[[#This Row],[Column2]]-Q$4)*$S$3*1000</f>
        <v>15.055338541666666</v>
      </c>
      <c r="E60" s="1">
        <f>IF(ABS(VALUE(teraterm[[#This Row],[Column1]]))&lt;4096,VALUE(teraterm[[#This Row],[Column1]]),0)</f>
        <v>2618</v>
      </c>
      <c r="F60" s="1">
        <f>teraterm[[#This Row],[V(V)]]^2</f>
        <v>57339.085204660892</v>
      </c>
    </row>
    <row r="61" spans="1:6" x14ac:dyDescent="0.25">
      <c r="A61" s="7">
        <v>2349</v>
      </c>
      <c r="B61" s="2">
        <v>346</v>
      </c>
      <c r="C61" s="1">
        <f>(teraterm[[#This Row],[Value(V)]]+$K$2)*$S$2</f>
        <v>214.9266357421875</v>
      </c>
      <c r="D61" s="1">
        <f>(teraterm[[#This Row],[Column2]]-Q$4)*$S$3*1000</f>
        <v>-5.696614583333333</v>
      </c>
      <c r="E61" s="1">
        <f>IF(ABS(VALUE(teraterm[[#This Row],[Column1]]))&lt;4096,VALUE(teraterm[[#This Row],[Column1]]),0)</f>
        <v>2349</v>
      </c>
      <c r="F61" s="1">
        <f>teraterm[[#This Row],[V(V)]]^2</f>
        <v>46193.458751454949</v>
      </c>
    </row>
    <row r="62" spans="1:6" x14ac:dyDescent="0.25">
      <c r="A62" s="7">
        <v>2070</v>
      </c>
      <c r="B62" s="2">
        <v>311</v>
      </c>
      <c r="C62" s="1">
        <f>(teraterm[[#This Row],[Value(V)]]+$K$2)*$S$2</f>
        <v>189.485595703125</v>
      </c>
      <c r="D62" s="1">
        <f>(teraterm[[#This Row],[Column2]]-Q$4)*$S$3*1000</f>
        <v>-19.938151041666664</v>
      </c>
      <c r="E62" s="1">
        <f>IF(ABS(VALUE(teraterm[[#This Row],[Column1]]))&lt;4096,VALUE(teraterm[[#This Row],[Column1]]),0)</f>
        <v>2070</v>
      </c>
      <c r="F62" s="1">
        <f>teraterm[[#This Row],[V(V)]]^2</f>
        <v>35904.790978968143</v>
      </c>
    </row>
    <row r="63" spans="1:6" x14ac:dyDescent="0.25">
      <c r="A63" s="7">
        <v>1803</v>
      </c>
      <c r="B63" s="2">
        <v>257</v>
      </c>
      <c r="C63" s="1">
        <f>(teraterm[[#This Row],[Value(V)]]+$K$2)*$S$2</f>
        <v>165.1387939453125</v>
      </c>
      <c r="D63" s="1">
        <f>(teraterm[[#This Row],[Column2]]-Q$4)*$S$3*1000</f>
        <v>-41.910807291666664</v>
      </c>
      <c r="E63" s="1">
        <f>IF(ABS(VALUE(teraterm[[#This Row],[Column1]]))&lt;4096,VALUE(teraterm[[#This Row],[Column1]]),0)</f>
        <v>1803</v>
      </c>
      <c r="F63" s="1">
        <f>teraterm[[#This Row],[V(V)]]^2</f>
        <v>27270.82126571238</v>
      </c>
    </row>
    <row r="64" spans="1:6" x14ac:dyDescent="0.25">
      <c r="A64" s="7">
        <v>1550</v>
      </c>
      <c r="B64" s="2">
        <v>210</v>
      </c>
      <c r="C64" s="1">
        <f>(teraterm[[#This Row],[Value(V)]]+$K$2)*$S$2</f>
        <v>142.068603515625</v>
      </c>
      <c r="D64" s="1">
        <f>(teraterm[[#This Row],[Column2]]-Q$4)*$S$3*1000</f>
        <v>-61.035156249999993</v>
      </c>
      <c r="E64" s="1">
        <f>IF(ABS(VALUE(teraterm[[#This Row],[Column1]]))&lt;4096,VALUE(teraterm[[#This Row],[Column1]]),0)</f>
        <v>1550</v>
      </c>
      <c r="F64" s="1">
        <f>teraterm[[#This Row],[V(V)]]^2</f>
        <v>20183.488104879856</v>
      </c>
    </row>
    <row r="65" spans="1:6" x14ac:dyDescent="0.25">
      <c r="A65" s="7">
        <v>1308</v>
      </c>
      <c r="B65" s="2">
        <v>166</v>
      </c>
      <c r="C65" s="1">
        <f>(teraterm[[#This Row],[Value(V)]]+$K$2)*$S$2</f>
        <v>120.00146484375</v>
      </c>
      <c r="D65" s="1">
        <f>(teraterm[[#This Row],[Column2]]-Q$4)*$S$3*1000</f>
        <v>-78.938802083333329</v>
      </c>
      <c r="E65" s="1">
        <f>IF(ABS(VALUE(teraterm[[#This Row],[Column1]]))&lt;4096,VALUE(teraterm[[#This Row],[Column1]]),0)</f>
        <v>1308</v>
      </c>
      <c r="F65" s="1">
        <f>teraterm[[#This Row],[V(V)]]^2</f>
        <v>14400.351564645767</v>
      </c>
    </row>
    <row r="66" spans="1:6" x14ac:dyDescent="0.25">
      <c r="A66" s="7">
        <v>1081</v>
      </c>
      <c r="B66" s="2">
        <v>119</v>
      </c>
      <c r="C66" s="1">
        <f>(teraterm[[#This Row],[Value(V)]]+$K$2)*$S$2</f>
        <v>99.3021240234375</v>
      </c>
      <c r="D66" s="1">
        <f>(teraterm[[#This Row],[Column2]]-Q$4)*$S$3*1000</f>
        <v>-98.063151041666657</v>
      </c>
      <c r="E66" s="1">
        <f>IF(ABS(VALUE(teraterm[[#This Row],[Column1]]))&lt;4096,VALUE(teraterm[[#This Row],[Column1]]),0)</f>
        <v>1081</v>
      </c>
      <c r="F66" s="1">
        <f>teraterm[[#This Row],[V(V)]]^2</f>
        <v>9860.9118355661631</v>
      </c>
    </row>
    <row r="67" spans="1:6" x14ac:dyDescent="0.25">
      <c r="A67" s="7">
        <v>863</v>
      </c>
      <c r="B67" s="2">
        <v>66</v>
      </c>
      <c r="C67" s="1">
        <f>(teraterm[[#This Row],[Value(V)]]+$K$2)*$S$2</f>
        <v>79.4234619140625</v>
      </c>
      <c r="D67" s="1">
        <f>(teraterm[[#This Row],[Column2]]-Q$4)*$S$3*1000</f>
        <v>-119.62890624999999</v>
      </c>
      <c r="E67" s="1">
        <f>IF(ABS(VALUE(teraterm[[#This Row],[Column1]]))&lt;4096,VALUE(teraterm[[#This Row],[Column1]]),0)</f>
        <v>863</v>
      </c>
      <c r="F67" s="1">
        <f>teraterm[[#This Row],[V(V)]]^2</f>
        <v>6308.0863024145365</v>
      </c>
    </row>
    <row r="68" spans="1:6" x14ac:dyDescent="0.25">
      <c r="A68" s="7">
        <v>664</v>
      </c>
      <c r="B68" s="2">
        <v>-1</v>
      </c>
      <c r="C68" s="1">
        <f>(teraterm[[#This Row],[Value(V)]]+$K$2)*$S$2</f>
        <v>61.27734375</v>
      </c>
      <c r="D68" s="1">
        <f>(teraterm[[#This Row],[Column2]]-Q$4)*$S$3*1000</f>
        <v>-146.89127604166666</v>
      </c>
      <c r="E68" s="1">
        <f>IF(ABS(VALUE(teraterm[[#This Row],[Column1]]))&lt;4096,VALUE(teraterm[[#This Row],[Column1]]),0)</f>
        <v>664</v>
      </c>
      <c r="F68" s="1">
        <f>teraterm[[#This Row],[V(V)]]^2</f>
        <v>3754.9128570556641</v>
      </c>
    </row>
    <row r="69" spans="1:6" x14ac:dyDescent="0.25">
      <c r="A69" s="7">
        <v>514</v>
      </c>
      <c r="B69" s="2">
        <v>-38</v>
      </c>
      <c r="C69" s="1">
        <f>(teraterm[[#This Row],[Value(V)]]+$K$2)*$S$2</f>
        <v>47.599365234375</v>
      </c>
      <c r="D69" s="1">
        <f>(teraterm[[#This Row],[Column2]]-Q$4)*$S$3*1000</f>
        <v>-161.94661458333331</v>
      </c>
      <c r="E69" s="1">
        <f>IF(ABS(VALUE(teraterm[[#This Row],[Column1]]))&lt;4096,VALUE(teraterm[[#This Row],[Column1]]),0)</f>
        <v>514</v>
      </c>
      <c r="F69" s="1">
        <f>teraterm[[#This Row],[V(V)]]^2</f>
        <v>2265.6995707154274</v>
      </c>
    </row>
    <row r="70" spans="1:6" x14ac:dyDescent="0.25">
      <c r="A70" s="7">
        <v>380</v>
      </c>
      <c r="B70" s="2">
        <v>-74</v>
      </c>
      <c r="C70" s="1">
        <f>(teraterm[[#This Row],[Value(V)]]+$K$2)*$S$2</f>
        <v>35.38037109375</v>
      </c>
      <c r="D70" s="1">
        <f>(teraterm[[#This Row],[Column2]]-Q$4)*$S$3*1000</f>
        <v>-176.59505208333331</v>
      </c>
      <c r="E70" s="1">
        <f>IF(ABS(VALUE(teraterm[[#This Row],[Column1]]))&lt;4096,VALUE(teraterm[[#This Row],[Column1]]),0)</f>
        <v>380</v>
      </c>
      <c r="F70" s="1">
        <f>teraterm[[#This Row],[V(V)]]^2</f>
        <v>1251.7706587314606</v>
      </c>
    </row>
    <row r="71" spans="1:6" x14ac:dyDescent="0.25">
      <c r="A71" s="7">
        <v>297</v>
      </c>
      <c r="B71" s="2">
        <v>-103</v>
      </c>
      <c r="C71" s="1">
        <f>(teraterm[[#This Row],[Value(V)]]+$K$2)*$S$2</f>
        <v>27.8118896484375</v>
      </c>
      <c r="D71" s="1">
        <f>(teraterm[[#This Row],[Column2]]-Q$4)*$S$3*1000</f>
        <v>-188.39518229166666</v>
      </c>
      <c r="E71" s="1">
        <f>IF(ABS(VALUE(teraterm[[#This Row],[Column1]]))&lt;4096,VALUE(teraterm[[#This Row],[Column1]]),0)</f>
        <v>297</v>
      </c>
      <c r="F71" s="1">
        <f>teraterm[[#This Row],[V(V)]]^2</f>
        <v>773.50120581686497</v>
      </c>
    </row>
    <row r="72" spans="1:6" x14ac:dyDescent="0.25">
      <c r="A72" s="7">
        <v>275</v>
      </c>
      <c r="B72" s="2">
        <v>-102</v>
      </c>
      <c r="C72" s="1">
        <f>(teraterm[[#This Row],[Value(V)]]+$K$2)*$S$2</f>
        <v>25.8057861328125</v>
      </c>
      <c r="D72" s="1">
        <f>(teraterm[[#This Row],[Column2]]-Q$4)*$S$3*1000</f>
        <v>-187.98828124999997</v>
      </c>
      <c r="E72" s="1">
        <f>IF(ABS(VALUE(teraterm[[#This Row],[Column1]]))&lt;4096,VALUE(teraterm[[#This Row],[Column1]]),0)</f>
        <v>275</v>
      </c>
      <c r="F72" s="1">
        <f>teraterm[[#This Row],[V(V)]]^2</f>
        <v>665.93859793245792</v>
      </c>
    </row>
    <row r="73" spans="1:6" x14ac:dyDescent="0.25">
      <c r="A73" s="7">
        <v>268</v>
      </c>
      <c r="B73" s="2">
        <v>-103</v>
      </c>
      <c r="C73" s="1">
        <f>(teraterm[[#This Row],[Value(V)]]+$K$2)*$S$2</f>
        <v>25.16748046875</v>
      </c>
      <c r="D73" s="1">
        <f>(teraterm[[#This Row],[Column2]]-Q$4)*$S$3*1000</f>
        <v>-188.39518229166666</v>
      </c>
      <c r="E73" s="1">
        <f>IF(ABS(VALUE(teraterm[[#This Row],[Column1]]))&lt;4096,VALUE(teraterm[[#This Row],[Column1]]),0)</f>
        <v>268</v>
      </c>
      <c r="F73" s="1">
        <f>teraterm[[#This Row],[V(V)]]^2</f>
        <v>633.40207314491272</v>
      </c>
    </row>
    <row r="74" spans="1:6" x14ac:dyDescent="0.25">
      <c r="A74" s="7">
        <v>273</v>
      </c>
      <c r="B74" s="2">
        <v>-107</v>
      </c>
      <c r="C74" s="1">
        <f>(teraterm[[#This Row],[Value(V)]]+$K$2)*$S$2</f>
        <v>25.6234130859375</v>
      </c>
      <c r="D74" s="1">
        <f>(teraterm[[#This Row],[Column2]]-Q$4)*$S$3*1000</f>
        <v>-190.02278645833331</v>
      </c>
      <c r="E74" s="1">
        <f>IF(ABS(VALUE(teraterm[[#This Row],[Column1]]))&lt;4096,VALUE(teraterm[[#This Row],[Column1]]),0)</f>
        <v>273</v>
      </c>
      <c r="F74" s="1">
        <f>teraterm[[#This Row],[V(V)]]^2</f>
        <v>656.55929817259312</v>
      </c>
    </row>
    <row r="75" spans="1:6" x14ac:dyDescent="0.25">
      <c r="A75" s="7">
        <v>293</v>
      </c>
      <c r="B75" s="2">
        <v>-82</v>
      </c>
      <c r="C75" s="1">
        <f>(teraterm[[#This Row],[Value(V)]]+$K$2)*$S$2</f>
        <v>27.4471435546875</v>
      </c>
      <c r="D75" s="1">
        <f>(teraterm[[#This Row],[Column2]]-Q$4)*$S$3*1000</f>
        <v>-179.85026041666666</v>
      </c>
      <c r="E75" s="1">
        <f>IF(ABS(VALUE(teraterm[[#This Row],[Column1]]))&lt;4096,VALUE(teraterm[[#This Row],[Column1]]),0)</f>
        <v>293</v>
      </c>
      <c r="F75" s="1">
        <f>teraterm[[#This Row],[V(V)]]^2</f>
        <v>753.34568931162357</v>
      </c>
    </row>
    <row r="76" spans="1:6" x14ac:dyDescent="0.25">
      <c r="A76" s="7">
        <v>376</v>
      </c>
      <c r="B76" s="2">
        <v>-58</v>
      </c>
      <c r="C76" s="1">
        <f>(teraterm[[#This Row],[Value(V)]]+$K$2)*$S$2</f>
        <v>35.015625</v>
      </c>
      <c r="D76" s="1">
        <f>(teraterm[[#This Row],[Column2]]-Q$4)*$S$3*1000</f>
        <v>-170.08463541666666</v>
      </c>
      <c r="E76" s="1">
        <f>IF(ABS(VALUE(teraterm[[#This Row],[Column1]]))&lt;4096,VALUE(teraterm[[#This Row],[Column1]]),0)</f>
        <v>376</v>
      </c>
      <c r="F76" s="1">
        <f>teraterm[[#This Row],[V(V)]]^2</f>
        <v>1226.093994140625</v>
      </c>
    </row>
    <row r="77" spans="1:6" x14ac:dyDescent="0.25">
      <c r="A77" s="7">
        <v>553</v>
      </c>
      <c r="B77" s="2">
        <v>-11</v>
      </c>
      <c r="C77" s="1">
        <f>(teraterm[[#This Row],[Value(V)]]+$K$2)*$S$2</f>
        <v>51.1556396484375</v>
      </c>
      <c r="D77" s="1">
        <f>(teraterm[[#This Row],[Column2]]-Q$4)*$S$3*1000</f>
        <v>-150.96028645833331</v>
      </c>
      <c r="E77" s="1">
        <f>IF(ABS(VALUE(teraterm[[#This Row],[Column1]]))&lt;4096,VALUE(teraterm[[#This Row],[Column1]]),0)</f>
        <v>553</v>
      </c>
      <c r="F77" s="1">
        <f>teraterm[[#This Row],[V(V)]]^2</f>
        <v>2616.8994678407907</v>
      </c>
    </row>
    <row r="78" spans="1:6" x14ac:dyDescent="0.25">
      <c r="A78" s="7">
        <v>754</v>
      </c>
      <c r="B78" s="2">
        <v>56</v>
      </c>
      <c r="C78" s="1">
        <f>(teraterm[[#This Row],[Value(V)]]+$K$2)*$S$2</f>
        <v>69.484130859375</v>
      </c>
      <c r="D78" s="1">
        <f>(teraterm[[#This Row],[Column2]]-Q$4)*$S$3*1000</f>
        <v>-123.69791666666666</v>
      </c>
      <c r="E78" s="1">
        <f>IF(ABS(VALUE(teraterm[[#This Row],[Column1]]))&lt;4096,VALUE(teraterm[[#This Row],[Column1]]),0)</f>
        <v>754</v>
      </c>
      <c r="F78" s="1">
        <f>teraterm[[#This Row],[V(V)]]^2</f>
        <v>4828.0444412827492</v>
      </c>
    </row>
    <row r="79" spans="1:6" x14ac:dyDescent="0.25">
      <c r="A79" s="7">
        <v>963</v>
      </c>
      <c r="B79" s="2">
        <v>106</v>
      </c>
      <c r="C79" s="1">
        <f>(teraterm[[#This Row],[Value(V)]]+$K$2)*$S$2</f>
        <v>88.5421142578125</v>
      </c>
      <c r="D79" s="1">
        <f>(teraterm[[#This Row],[Column2]]-Q$4)*$S$3*1000</f>
        <v>-103.35286458333333</v>
      </c>
      <c r="E79" s="1">
        <f>IF(ABS(VALUE(teraterm[[#This Row],[Column1]]))&lt;4096,VALUE(teraterm[[#This Row],[Column1]]),0)</f>
        <v>963</v>
      </c>
      <c r="F79" s="1">
        <f>teraterm[[#This Row],[V(V)]]^2</f>
        <v>7839.7059972435236</v>
      </c>
    </row>
    <row r="80" spans="1:6" x14ac:dyDescent="0.25">
      <c r="A80" s="7">
        <v>1184</v>
      </c>
      <c r="B80" s="2">
        <v>162</v>
      </c>
      <c r="C80" s="1">
        <f>(teraterm[[#This Row],[Value(V)]]+$K$2)*$S$2</f>
        <v>108.6943359375</v>
      </c>
      <c r="D80" s="1">
        <f>(teraterm[[#This Row],[Column2]]-Q$4)*$S$3*1000</f>
        <v>-80.566406249999986</v>
      </c>
      <c r="E80" s="1">
        <f>IF(ABS(VALUE(teraterm[[#This Row],[Column1]]))&lt;4096,VALUE(teraterm[[#This Row],[Column1]]),0)</f>
        <v>1184</v>
      </c>
      <c r="F80" s="1">
        <f>teraterm[[#This Row],[V(V)]]^2</f>
        <v>11814.458664894104</v>
      </c>
    </row>
    <row r="81" spans="1:6" x14ac:dyDescent="0.25">
      <c r="A81" s="7">
        <v>1426</v>
      </c>
      <c r="B81" s="2">
        <v>221</v>
      </c>
      <c r="C81" s="1">
        <f>(teraterm[[#This Row],[Value(V)]]+$K$2)*$S$2</f>
        <v>130.761474609375</v>
      </c>
      <c r="D81" s="1">
        <f>(teraterm[[#This Row],[Column2]]-Q$4)*$S$3*1000</f>
        <v>-56.559244791666664</v>
      </c>
      <c r="E81" s="1">
        <f>IF(ABS(VALUE(teraterm[[#This Row],[Column1]]))&lt;4096,VALUE(teraterm[[#This Row],[Column1]]),0)</f>
        <v>1426</v>
      </c>
      <c r="F81" s="1">
        <f>teraterm[[#This Row],[V(V)]]^2</f>
        <v>17098.563242018223</v>
      </c>
    </row>
    <row r="82" spans="1:6" x14ac:dyDescent="0.25">
      <c r="A82" s="7">
        <v>1672</v>
      </c>
      <c r="B82" s="2">
        <v>239</v>
      </c>
      <c r="C82" s="1">
        <f>(teraterm[[#This Row],[Value(V)]]+$K$2)*$S$2</f>
        <v>153.193359375</v>
      </c>
      <c r="D82" s="1">
        <f>(teraterm[[#This Row],[Column2]]-Q$4)*$S$3*1000</f>
        <v>-49.235026041666664</v>
      </c>
      <c r="E82" s="1">
        <f>IF(ABS(VALUE(teraterm[[#This Row],[Column1]]))&lt;4096,VALUE(teraterm[[#This Row],[Column1]]),0)</f>
        <v>1672</v>
      </c>
      <c r="F82" s="1">
        <f>teraterm[[#This Row],[V(V)]]^2</f>
        <v>23468.2053565979</v>
      </c>
    </row>
    <row r="83" spans="1:6" x14ac:dyDescent="0.25">
      <c r="A83" s="7">
        <v>1937</v>
      </c>
      <c r="B83" s="2">
        <v>306</v>
      </c>
      <c r="C83" s="1">
        <f>(teraterm[[#This Row],[Value(V)]]+$K$2)*$S$2</f>
        <v>177.3577880859375</v>
      </c>
      <c r="D83" s="1">
        <f>(teraterm[[#This Row],[Column2]]-Q$4)*$S$3*1000</f>
        <v>-21.972656249999996</v>
      </c>
      <c r="E83" s="1">
        <f>IF(ABS(VALUE(teraterm[[#This Row],[Column1]]))&lt;4096,VALUE(teraterm[[#This Row],[Column1]]),0)</f>
        <v>1937</v>
      </c>
      <c r="F83" s="1">
        <f>teraterm[[#This Row],[V(V)]]^2</f>
        <v>31455.784994736314</v>
      </c>
    </row>
    <row r="84" spans="1:6" x14ac:dyDescent="0.25">
      <c r="A84" s="7">
        <v>2214</v>
      </c>
      <c r="B84" s="2">
        <v>347</v>
      </c>
      <c r="C84" s="1">
        <f>(teraterm[[#This Row],[Value(V)]]+$K$2)*$S$2</f>
        <v>202.616455078125</v>
      </c>
      <c r="D84" s="1">
        <f>(teraterm[[#This Row],[Column2]]-Q$4)*$S$3*1000</f>
        <v>-5.2897135416666661</v>
      </c>
      <c r="E84" s="1">
        <f>IF(ABS(VALUE(teraterm[[#This Row],[Column1]]))&lt;4096,VALUE(teraterm[[#This Row],[Column1]]),0)</f>
        <v>2214</v>
      </c>
      <c r="F84" s="1">
        <f>teraterm[[#This Row],[V(V)]]^2</f>
        <v>41053.427868425846</v>
      </c>
    </row>
    <row r="85" spans="1:6" x14ac:dyDescent="0.25">
      <c r="A85" s="7">
        <v>2486</v>
      </c>
      <c r="B85" s="2">
        <v>391</v>
      </c>
      <c r="C85" s="1">
        <f>(teraterm[[#This Row],[Value(V)]]+$K$2)*$S$2</f>
        <v>227.419189453125</v>
      </c>
      <c r="D85" s="1">
        <f>(teraterm[[#This Row],[Column2]]-Q$4)*$S$3*1000</f>
        <v>12.613932291666666</v>
      </c>
      <c r="E85" s="1">
        <f>IF(ABS(VALUE(teraterm[[#This Row],[Column1]]))&lt;4096,VALUE(teraterm[[#This Row],[Column1]]),0)</f>
        <v>2486</v>
      </c>
      <c r="F85" s="1">
        <f>teraterm[[#This Row],[V(V)]]^2</f>
        <v>51719.487731516361</v>
      </c>
    </row>
    <row r="86" spans="1:6" x14ac:dyDescent="0.25">
      <c r="A86" s="7">
        <v>2731</v>
      </c>
      <c r="B86" s="2">
        <v>446</v>
      </c>
      <c r="C86" s="1">
        <f>(teraterm[[#This Row],[Value(V)]]+$K$2)*$S$2</f>
        <v>249.7598876953125</v>
      </c>
      <c r="D86" s="1">
        <f>(teraterm[[#This Row],[Column2]]-Q$4)*$S$3*1000</f>
        <v>34.993489583333329</v>
      </c>
      <c r="E86" s="1">
        <f>IF(ABS(VALUE(teraterm[[#This Row],[Column1]]))&lt;4096,VALUE(teraterm[[#This Row],[Column1]]),0)</f>
        <v>2731</v>
      </c>
      <c r="F86" s="1">
        <f>teraterm[[#This Row],[V(V)]]^2</f>
        <v>62380.001501575112</v>
      </c>
    </row>
    <row r="87" spans="1:6" x14ac:dyDescent="0.25">
      <c r="A87" s="7">
        <v>2966</v>
      </c>
      <c r="B87" s="2">
        <v>474</v>
      </c>
      <c r="C87" s="1">
        <f>(teraterm[[#This Row],[Value(V)]]+$K$2)*$S$2</f>
        <v>271.188720703125</v>
      </c>
      <c r="D87" s="1">
        <f>(teraterm[[#This Row],[Column2]]-Q$4)*$S$3*1000</f>
        <v>46.386718749999993</v>
      </c>
      <c r="E87" s="1">
        <f>IF(ABS(VALUE(teraterm[[#This Row],[Column1]]))&lt;4096,VALUE(teraterm[[#This Row],[Column1]]),0)</f>
        <v>2966</v>
      </c>
      <c r="F87" s="1">
        <f>teraterm[[#This Row],[V(V)]]^2</f>
        <v>73543.322236597538</v>
      </c>
    </row>
    <row r="88" spans="1:6" x14ac:dyDescent="0.25">
      <c r="A88" s="7">
        <v>3189</v>
      </c>
      <c r="B88" s="2">
        <v>515</v>
      </c>
      <c r="C88" s="1">
        <f>(teraterm[[#This Row],[Value(V)]]+$K$2)*$S$2</f>
        <v>291.5233154296875</v>
      </c>
      <c r="D88" s="1">
        <f>(teraterm[[#This Row],[Column2]]-Q$4)*$S$3*1000</f>
        <v>63.069661458333329</v>
      </c>
      <c r="E88" s="1">
        <f>IF(ABS(VALUE(teraterm[[#This Row],[Column1]]))&lt;4096,VALUE(teraterm[[#This Row],[Column1]]),0)</f>
        <v>3189</v>
      </c>
      <c r="F88" s="1">
        <f>teraterm[[#This Row],[V(V)]]^2</f>
        <v>84985.843439117074</v>
      </c>
    </row>
    <row r="89" spans="1:6" x14ac:dyDescent="0.25">
      <c r="A89" s="7">
        <v>3396</v>
      </c>
      <c r="B89" s="2">
        <v>549</v>
      </c>
      <c r="C89" s="1">
        <f>(teraterm[[#This Row],[Value(V)]]+$K$2)*$S$2</f>
        <v>310.39892578125</v>
      </c>
      <c r="D89" s="1">
        <f>(teraterm[[#This Row],[Column2]]-Q$4)*$S$3*1000</f>
        <v>76.904296875</v>
      </c>
      <c r="E89" s="1">
        <f>IF(ABS(VALUE(teraterm[[#This Row],[Column1]]))&lt;4096,VALUE(teraterm[[#This Row],[Column1]]),0)</f>
        <v>3396</v>
      </c>
      <c r="F89" s="1">
        <f>teraterm[[#This Row],[V(V)]]^2</f>
        <v>96347.493126153946</v>
      </c>
    </row>
    <row r="90" spans="1:6" x14ac:dyDescent="0.25">
      <c r="A90" s="7">
        <v>3597</v>
      </c>
      <c r="B90" s="2">
        <v>591</v>
      </c>
      <c r="C90" s="1">
        <f>(teraterm[[#This Row],[Value(V)]]+$K$2)*$S$2</f>
        <v>328.7274169921875</v>
      </c>
      <c r="D90" s="1">
        <f>(teraterm[[#This Row],[Column2]]-Q$4)*$S$3*1000</f>
        <v>93.994140624999986</v>
      </c>
      <c r="E90" s="1">
        <f>IF(ABS(VALUE(teraterm[[#This Row],[Column1]]))&lt;4096,VALUE(teraterm[[#This Row],[Column1]]),0)</f>
        <v>3597</v>
      </c>
      <c r="F90" s="1">
        <f>teraterm[[#This Row],[V(V)]]^2</f>
        <v>108061.71468235552</v>
      </c>
    </row>
    <row r="91" spans="1:6" x14ac:dyDescent="0.25">
      <c r="A91" s="7">
        <v>3751</v>
      </c>
      <c r="B91" s="2">
        <v>605</v>
      </c>
      <c r="C91" s="1">
        <f>(teraterm[[#This Row],[Value(V)]]+$K$2)*$S$2</f>
        <v>342.7701416015625</v>
      </c>
      <c r="D91" s="1">
        <f>(teraterm[[#This Row],[Column2]]-Q$4)*$S$3*1000</f>
        <v>99.690755208333329</v>
      </c>
      <c r="E91" s="1">
        <f>IF(ABS(VALUE(teraterm[[#This Row],[Column1]]))&lt;4096,VALUE(teraterm[[#This Row],[Column1]]),0)</f>
        <v>3751</v>
      </c>
      <c r="F91" s="1">
        <f>teraterm[[#This Row],[V(V)]]^2</f>
        <v>117491.36997355521</v>
      </c>
    </row>
    <row r="92" spans="1:6" x14ac:dyDescent="0.25">
      <c r="A92" s="7">
        <v>3876</v>
      </c>
      <c r="B92" s="2">
        <v>644</v>
      </c>
      <c r="C92" s="1">
        <f>(teraterm[[#This Row],[Value(V)]]+$K$2)*$S$2</f>
        <v>354.16845703125</v>
      </c>
      <c r="D92" s="1">
        <f>(teraterm[[#This Row],[Column2]]-Q$4)*$S$3*1000</f>
        <v>115.55989583333333</v>
      </c>
      <c r="E92" s="1">
        <f>IF(ABS(VALUE(teraterm[[#This Row],[Column1]]))&lt;4096,VALUE(teraterm[[#This Row],[Column1]]),0)</f>
        <v>3876</v>
      </c>
      <c r="F92" s="1">
        <f>teraterm[[#This Row],[V(V)]]^2</f>
        <v>125435.29595589638</v>
      </c>
    </row>
    <row r="93" spans="1:6" x14ac:dyDescent="0.25">
      <c r="A93" s="7">
        <v>3979</v>
      </c>
      <c r="B93" s="2">
        <v>651</v>
      </c>
      <c r="C93" s="1">
        <f>(teraterm[[#This Row],[Value(V)]]+$K$2)*$S$2</f>
        <v>363.5606689453125</v>
      </c>
      <c r="D93" s="1">
        <f>(teraterm[[#This Row],[Column2]]-Q$4)*$S$3*1000</f>
        <v>118.40820312499999</v>
      </c>
      <c r="E93" s="1">
        <f>IF(ABS(VALUE(teraterm[[#This Row],[Column1]]))&lt;4096,VALUE(teraterm[[#This Row],[Column1]]),0)</f>
        <v>3979</v>
      </c>
      <c r="F93" s="1">
        <f>teraterm[[#This Row],[V(V)]]^2</f>
        <v>132176.36000396311</v>
      </c>
    </row>
    <row r="94" spans="1:6" x14ac:dyDescent="0.25">
      <c r="A94" s="7">
        <v>4011</v>
      </c>
      <c r="B94" s="2">
        <v>660</v>
      </c>
      <c r="C94" s="1">
        <f>(teraterm[[#This Row],[Value(V)]]+$K$2)*$S$2</f>
        <v>366.4786376953125</v>
      </c>
      <c r="D94" s="1">
        <f>(teraterm[[#This Row],[Column2]]-Q$4)*$S$3*1000</f>
        <v>122.07031249999999</v>
      </c>
      <c r="E94" s="1">
        <f>IF(ABS(VALUE(teraterm[[#This Row],[Column1]]))&lt;4096,VALUE(teraterm[[#This Row],[Column1]]),0)</f>
        <v>4011</v>
      </c>
      <c r="F94" s="1">
        <f>teraterm[[#This Row],[V(V)]]^2</f>
        <v>134306.59188701212</v>
      </c>
    </row>
    <row r="95" spans="1:6" x14ac:dyDescent="0.25">
      <c r="A95" s="7">
        <v>4024</v>
      </c>
      <c r="B95" s="2">
        <v>648</v>
      </c>
      <c r="C95" s="1">
        <f>(teraterm[[#This Row],[Value(V)]]+$K$2)*$S$2</f>
        <v>367.6640625</v>
      </c>
      <c r="D95" s="1">
        <f>(teraterm[[#This Row],[Column2]]-Q$4)*$S$3*1000</f>
        <v>117.18749999999999</v>
      </c>
      <c r="E95" s="1">
        <f>IF(ABS(VALUE(teraterm[[#This Row],[Column1]]))&lt;4096,VALUE(teraterm[[#This Row],[Column1]]),0)</f>
        <v>4024</v>
      </c>
      <c r="F95" s="1">
        <f>teraterm[[#This Row],[V(V)]]^2</f>
        <v>135176.86285400391</v>
      </c>
    </row>
    <row r="96" spans="1:6" x14ac:dyDescent="0.25">
      <c r="A96" s="7">
        <v>4029</v>
      </c>
      <c r="B96" s="2">
        <v>664</v>
      </c>
      <c r="C96" s="1">
        <f>(teraterm[[#This Row],[Value(V)]]+$K$2)*$S$2</f>
        <v>368.1199951171875</v>
      </c>
      <c r="D96" s="1">
        <f>(teraterm[[#This Row],[Column2]]-Q$4)*$S$3*1000</f>
        <v>123.69791666666666</v>
      </c>
      <c r="E96" s="1">
        <f>IF(ABS(VALUE(teraterm[[#This Row],[Column1]]))&lt;4096,VALUE(teraterm[[#This Row],[Column1]]),0)</f>
        <v>4029</v>
      </c>
      <c r="F96" s="1">
        <f>teraterm[[#This Row],[V(V)]]^2</f>
        <v>135512.33080507815</v>
      </c>
    </row>
    <row r="97" spans="1:6" x14ac:dyDescent="0.25">
      <c r="A97" s="7">
        <v>4023</v>
      </c>
      <c r="B97" s="2">
        <v>644</v>
      </c>
      <c r="C97" s="1">
        <f>(teraterm[[#This Row],[Value(V)]]+$K$2)*$S$2</f>
        <v>367.5728759765625</v>
      </c>
      <c r="D97" s="1">
        <f>(teraterm[[#This Row],[Column2]]-Q$4)*$S$3*1000</f>
        <v>115.55989583333333</v>
      </c>
      <c r="E97" s="1">
        <f>IF(ABS(VALUE(teraterm[[#This Row],[Column1]]))&lt;4096,VALUE(teraterm[[#This Row],[Column1]]),0)</f>
        <v>4023</v>
      </c>
      <c r="F97" s="1">
        <f>teraterm[[#This Row],[V(V)]]^2</f>
        <v>135109.8191536814</v>
      </c>
    </row>
    <row r="98" spans="1:6" x14ac:dyDescent="0.25">
      <c r="A98" s="7">
        <v>3977</v>
      </c>
      <c r="B98" s="2">
        <v>643</v>
      </c>
      <c r="C98" s="1">
        <f>(teraterm[[#This Row],[Value(V)]]+$K$2)*$S$2</f>
        <v>363.3782958984375</v>
      </c>
      <c r="D98" s="1">
        <f>(teraterm[[#This Row],[Column2]]-Q$4)*$S$3*1000</f>
        <v>115.15299479166666</v>
      </c>
      <c r="E98" s="1">
        <f>IF(ABS(VALUE(teraterm[[#This Row],[Column1]]))&lt;4096,VALUE(teraterm[[#This Row],[Column1]]),0)</f>
        <v>3977</v>
      </c>
      <c r="F98" s="1">
        <f>teraterm[[#This Row],[V(V)]]^2</f>
        <v>132043.7859300524</v>
      </c>
    </row>
    <row r="99" spans="1:6" x14ac:dyDescent="0.25">
      <c r="A99" s="7">
        <v>3839</v>
      </c>
      <c r="B99" s="2">
        <v>620</v>
      </c>
      <c r="C99" s="1">
        <f>(teraterm[[#This Row],[Value(V)]]+$K$2)*$S$2</f>
        <v>350.7945556640625</v>
      </c>
      <c r="D99" s="1">
        <f>(teraterm[[#This Row],[Column2]]-Q$4)*$S$3*1000</f>
        <v>105.79427083333333</v>
      </c>
      <c r="E99" s="1">
        <f>IF(ABS(VALUE(teraterm[[#This Row],[Column1]]))&lt;4096,VALUE(teraterm[[#This Row],[Column1]]),0)</f>
        <v>3839</v>
      </c>
      <c r="F99" s="1">
        <f>teraterm[[#This Row],[V(V)]]^2</f>
        <v>123056.82028354704</v>
      </c>
    </row>
    <row r="100" spans="1:6" x14ac:dyDescent="0.25">
      <c r="A100" s="7">
        <v>3652</v>
      </c>
      <c r="B100" s="2">
        <v>582</v>
      </c>
      <c r="C100" s="1">
        <f>(teraterm[[#This Row],[Value(V)]]+$K$2)*$S$2</f>
        <v>333.74267578125</v>
      </c>
      <c r="D100" s="1">
        <f>(teraterm[[#This Row],[Column2]]-Q$4)*$S$3*1000</f>
        <v>90.332031249999986</v>
      </c>
      <c r="E100" s="1">
        <f>IF(ABS(VALUE(teraterm[[#This Row],[Column1]]))&lt;4096,VALUE(teraterm[[#This Row],[Column1]]),0)</f>
        <v>3652</v>
      </c>
      <c r="F100" s="1">
        <f>teraterm[[#This Row],[V(V)]]^2</f>
        <v>111384.17363762856</v>
      </c>
    </row>
    <row r="101" spans="1:6" x14ac:dyDescent="0.25">
      <c r="A101" s="7">
        <v>3458</v>
      </c>
      <c r="B101" s="2">
        <v>558</v>
      </c>
      <c r="C101" s="1">
        <f>(teraterm[[#This Row],[Value(V)]]+$K$2)*$S$2</f>
        <v>316.052490234375</v>
      </c>
      <c r="D101" s="1">
        <f>(teraterm[[#This Row],[Column2]]-Q$4)*$S$3*1000</f>
        <v>80.566406249999986</v>
      </c>
      <c r="E101" s="1">
        <f>IF(ABS(VALUE(teraterm[[#This Row],[Column1]]))&lt;4096,VALUE(teraterm[[#This Row],[Column1]]),0)</f>
        <v>3458</v>
      </c>
      <c r="F101" s="1">
        <f>teraterm[[#This Row],[V(V)]]^2</f>
        <v>99889.176583349705</v>
      </c>
    </row>
    <row r="102" spans="1:6" x14ac:dyDescent="0.25">
      <c r="A102" s="7">
        <v>3254</v>
      </c>
      <c r="B102" s="2">
        <v>499</v>
      </c>
      <c r="C102" s="1">
        <f>(teraterm[[#This Row],[Value(V)]]+$K$2)*$S$2</f>
        <v>297.450439453125</v>
      </c>
      <c r="D102" s="1">
        <f>(teraterm[[#This Row],[Column2]]-Q$4)*$S$3*1000</f>
        <v>56.559244791666664</v>
      </c>
      <c r="E102" s="1">
        <f>IF(ABS(VALUE(teraterm[[#This Row],[Column1]]))&lt;4096,VALUE(teraterm[[#This Row],[Column1]]),0)</f>
        <v>3254</v>
      </c>
      <c r="F102" s="1">
        <f>teraterm[[#This Row],[V(V)]]^2</f>
        <v>88476.763930857182</v>
      </c>
    </row>
    <row r="103" spans="1:6" x14ac:dyDescent="0.25">
      <c r="A103" s="7">
        <v>3023</v>
      </c>
      <c r="B103" s="2">
        <v>476</v>
      </c>
      <c r="C103" s="1">
        <f>(teraterm[[#This Row],[Value(V)]]+$K$2)*$S$2</f>
        <v>276.3863525390625</v>
      </c>
      <c r="D103" s="1">
        <f>(teraterm[[#This Row],[Column2]]-Q$4)*$S$3*1000</f>
        <v>47.200520833333329</v>
      </c>
      <c r="E103" s="1">
        <f>IF(ABS(VALUE(teraterm[[#This Row],[Column1]]))&lt;4096,VALUE(teraterm[[#This Row],[Column1]]),0)</f>
        <v>3023</v>
      </c>
      <c r="F103" s="1">
        <f>teraterm[[#This Row],[V(V)]]^2</f>
        <v>76389.41586984694</v>
      </c>
    </row>
    <row r="104" spans="1:6" x14ac:dyDescent="0.25">
      <c r="A104" s="7">
        <v>2786</v>
      </c>
      <c r="B104" s="2">
        <v>428</v>
      </c>
      <c r="C104" s="1">
        <f>(teraterm[[#This Row],[Value(V)]]+$K$2)*$S$2</f>
        <v>254.775146484375</v>
      </c>
      <c r="D104" s="1">
        <f>(teraterm[[#This Row],[Column2]]-Q$4)*$S$3*1000</f>
        <v>27.669270833333332</v>
      </c>
      <c r="E104" s="1">
        <f>IF(ABS(VALUE(teraterm[[#This Row],[Column1]]))&lt;4096,VALUE(teraterm[[#This Row],[Column1]]),0)</f>
        <v>2786</v>
      </c>
      <c r="F104" s="1">
        <f>teraterm[[#This Row],[V(V)]]^2</f>
        <v>64910.375266134739</v>
      </c>
    </row>
    <row r="105" spans="1:6" x14ac:dyDescent="0.25">
      <c r="A105" s="7">
        <v>2527</v>
      </c>
      <c r="B105" s="2">
        <v>390</v>
      </c>
      <c r="C105" s="1">
        <f>(teraterm[[#This Row],[Value(V)]]+$K$2)*$S$2</f>
        <v>231.1578369140625</v>
      </c>
      <c r="D105" s="1">
        <f>(teraterm[[#This Row],[Column2]]-Q$4)*$S$3*1000</f>
        <v>12.207031249999998</v>
      </c>
      <c r="E105" s="1">
        <f>IF(ABS(VALUE(teraterm[[#This Row],[Column1]]))&lt;4096,VALUE(teraterm[[#This Row],[Column1]]),0)</f>
        <v>2527</v>
      </c>
      <c r="F105" s="1">
        <f>teraterm[[#This Row],[V(V)]]^2</f>
        <v>53433.945566788316</v>
      </c>
    </row>
    <row r="106" spans="1:6" x14ac:dyDescent="0.25">
      <c r="A106" s="7">
        <v>2252</v>
      </c>
      <c r="B106" s="2">
        <v>334</v>
      </c>
      <c r="C106" s="1">
        <f>(teraterm[[#This Row],[Value(V)]]+$K$2)*$S$2</f>
        <v>206.08154296875</v>
      </c>
      <c r="D106" s="1">
        <f>(teraterm[[#This Row],[Column2]]-Q$4)*$S$3*1000</f>
        <v>-10.579427083333332</v>
      </c>
      <c r="E106" s="1">
        <f>IF(ABS(VALUE(teraterm[[#This Row],[Column1]]))&lt;4096,VALUE(teraterm[[#This Row],[Column1]]),0)</f>
        <v>2252</v>
      </c>
      <c r="F106" s="1">
        <f>teraterm[[#This Row],[V(V)]]^2</f>
        <v>42469.602352380753</v>
      </c>
    </row>
    <row r="107" spans="1:6" x14ac:dyDescent="0.25">
      <c r="A107" s="7">
        <v>1971</v>
      </c>
      <c r="B107" s="2">
        <v>289</v>
      </c>
      <c r="C107" s="1">
        <f>(teraterm[[#This Row],[Value(V)]]+$K$2)*$S$2</f>
        <v>180.4581298828125</v>
      </c>
      <c r="D107" s="1">
        <f>(teraterm[[#This Row],[Column2]]-Q$4)*$S$3*1000</f>
        <v>-28.889973958333332</v>
      </c>
      <c r="E107" s="1">
        <f>IF(ABS(VALUE(teraterm[[#This Row],[Column1]]))&lt;4096,VALUE(teraterm[[#This Row],[Column1]]),0)</f>
        <v>1971</v>
      </c>
      <c r="F107" s="1">
        <f>teraterm[[#This Row],[V(V)]]^2</f>
        <v>32565.136640802026</v>
      </c>
    </row>
    <row r="108" spans="1:6" x14ac:dyDescent="0.25">
      <c r="A108" s="7">
        <v>1715</v>
      </c>
      <c r="B108" s="2">
        <v>256</v>
      </c>
      <c r="C108" s="1">
        <f>(teraterm[[#This Row],[Value(V)]]+$K$2)*$S$2</f>
        <v>157.1143798828125</v>
      </c>
      <c r="D108" s="1">
        <f>(teraterm[[#This Row],[Column2]]-Q$4)*$S$3*1000</f>
        <v>-42.317708333333329</v>
      </c>
      <c r="E108" s="1">
        <f>IF(ABS(VALUE(teraterm[[#This Row],[Column1]]))&lt;4096,VALUE(teraterm[[#This Row],[Column1]]),0)</f>
        <v>1715</v>
      </c>
      <c r="F108" s="1">
        <f>teraterm[[#This Row],[V(V)]]^2</f>
        <v>24684.928365960717</v>
      </c>
    </row>
    <row r="109" spans="1:6" x14ac:dyDescent="0.25">
      <c r="A109" s="7">
        <v>1465</v>
      </c>
      <c r="B109" s="2">
        <v>218</v>
      </c>
      <c r="C109" s="1">
        <f>(teraterm[[#This Row],[Value(V)]]+$K$2)*$S$2</f>
        <v>134.3177490234375</v>
      </c>
      <c r="D109" s="1">
        <f>(teraterm[[#This Row],[Column2]]-Q$4)*$S$3*1000</f>
        <v>-57.779947916666664</v>
      </c>
      <c r="E109" s="1">
        <f>IF(ABS(VALUE(teraterm[[#This Row],[Column1]]))&lt;4096,VALUE(teraterm[[#This Row],[Column1]]),0)</f>
        <v>1465</v>
      </c>
      <c r="F109" s="1">
        <f>teraterm[[#This Row],[V(V)]]^2</f>
        <v>18041.257702723145</v>
      </c>
    </row>
    <row r="110" spans="1:6" x14ac:dyDescent="0.25">
      <c r="A110" s="7">
        <v>1225</v>
      </c>
      <c r="B110" s="2">
        <v>166</v>
      </c>
      <c r="C110" s="1">
        <f>(teraterm[[#This Row],[Value(V)]]+$K$2)*$S$2</f>
        <v>112.4329833984375</v>
      </c>
      <c r="D110" s="1">
        <f>(teraterm[[#This Row],[Column2]]-Q$4)*$S$3*1000</f>
        <v>-78.938802083333329</v>
      </c>
      <c r="E110" s="1">
        <f>IF(ABS(VALUE(teraterm[[#This Row],[Column1]]))&lt;4096,VALUE(teraterm[[#This Row],[Column1]]),0)</f>
        <v>1225</v>
      </c>
      <c r="F110" s="1">
        <f>teraterm[[#This Row],[V(V)]]^2</f>
        <v>12641.175755873322</v>
      </c>
    </row>
    <row r="111" spans="1:6" x14ac:dyDescent="0.25">
      <c r="A111" s="7">
        <v>1003</v>
      </c>
      <c r="B111" s="2">
        <v>100</v>
      </c>
      <c r="C111" s="1">
        <f>(teraterm[[#This Row],[Value(V)]]+$K$2)*$S$2</f>
        <v>92.1895751953125</v>
      </c>
      <c r="D111" s="1">
        <f>(teraterm[[#This Row],[Column2]]-Q$4)*$S$3*1000</f>
        <v>-105.79427083333333</v>
      </c>
      <c r="E111" s="1">
        <f>IF(ABS(VALUE(teraterm[[#This Row],[Column1]]))&lt;4096,VALUE(teraterm[[#This Row],[Column1]]),0)</f>
        <v>1003</v>
      </c>
      <c r="F111" s="1">
        <f>teraterm[[#This Row],[V(V)]]^2</f>
        <v>8498.9177746921778</v>
      </c>
    </row>
    <row r="112" spans="1:6" x14ac:dyDescent="0.25">
      <c r="A112" s="7">
        <v>790</v>
      </c>
      <c r="B112" s="2">
        <v>48</v>
      </c>
      <c r="C112" s="1">
        <f>(teraterm[[#This Row],[Value(V)]]+$K$2)*$S$2</f>
        <v>72.766845703125</v>
      </c>
      <c r="D112" s="1">
        <f>(teraterm[[#This Row],[Column2]]-Q$4)*$S$3*1000</f>
        <v>-126.953125</v>
      </c>
      <c r="E112" s="1">
        <f>IF(ABS(VALUE(teraterm[[#This Row],[Column1]]))&lt;4096,VALUE(teraterm[[#This Row],[Column1]]),0)</f>
        <v>790</v>
      </c>
      <c r="F112" s="1">
        <f>teraterm[[#This Row],[V(V)]]^2</f>
        <v>5295.0138335824013</v>
      </c>
    </row>
    <row r="113" spans="1:6" x14ac:dyDescent="0.25">
      <c r="A113" s="7">
        <v>608</v>
      </c>
      <c r="B113" s="2">
        <v>-4</v>
      </c>
      <c r="C113" s="1">
        <f>(teraterm[[#This Row],[Value(V)]]+$K$2)*$S$2</f>
        <v>56.1708984375</v>
      </c>
      <c r="D113" s="1">
        <f>(teraterm[[#This Row],[Column2]]-Q$4)*$S$3*1000</f>
        <v>-148.11197916666666</v>
      </c>
      <c r="E113" s="1">
        <f>IF(ABS(VALUE(teraterm[[#This Row],[Column1]]))&lt;4096,VALUE(teraterm[[#This Row],[Column1]]),0)</f>
        <v>608</v>
      </c>
      <c r="F113" s="1">
        <f>teraterm[[#This Row],[V(V)]]^2</f>
        <v>3155.1698312759399</v>
      </c>
    </row>
    <row r="114" spans="1:6" x14ac:dyDescent="0.25">
      <c r="A114" s="7">
        <v>467</v>
      </c>
      <c r="B114" s="2">
        <v>-56</v>
      </c>
      <c r="C114" s="1">
        <f>(teraterm[[#This Row],[Value(V)]]+$K$2)*$S$2</f>
        <v>43.3135986328125</v>
      </c>
      <c r="D114" s="1">
        <f>(teraterm[[#This Row],[Column2]]-Q$4)*$S$3*1000</f>
        <v>-169.27083333333331</v>
      </c>
      <c r="E114" s="1">
        <f>IF(ABS(VALUE(teraterm[[#This Row],[Column1]]))&lt;4096,VALUE(teraterm[[#This Row],[Column1]]),0)</f>
        <v>467</v>
      </c>
      <c r="F114" s="1">
        <f>teraterm[[#This Row],[V(V)]]^2</f>
        <v>1876.0678265243769</v>
      </c>
    </row>
    <row r="115" spans="1:6" x14ac:dyDescent="0.25">
      <c r="A115" s="7">
        <v>339</v>
      </c>
      <c r="B115" s="2">
        <v>-96</v>
      </c>
      <c r="C115" s="1">
        <f>(teraterm[[#This Row],[Value(V)]]+$K$2)*$S$2</f>
        <v>31.6417236328125</v>
      </c>
      <c r="D115" s="1">
        <f>(teraterm[[#This Row],[Column2]]-Q$4)*$S$3*1000</f>
        <v>-185.54687499999997</v>
      </c>
      <c r="E115" s="1">
        <f>IF(ABS(VALUE(teraterm[[#This Row],[Column1]]))&lt;4096,VALUE(teraterm[[#This Row],[Column1]]),0)</f>
        <v>339</v>
      </c>
      <c r="F115" s="1">
        <f>teraterm[[#This Row],[V(V)]]^2</f>
        <v>1001.1986744552851</v>
      </c>
    </row>
    <row r="116" spans="1:6" x14ac:dyDescent="0.25">
      <c r="A116" s="7">
        <v>285</v>
      </c>
      <c r="B116" s="2">
        <v>-100</v>
      </c>
      <c r="C116" s="1">
        <f>(teraterm[[#This Row],[Value(V)]]+$K$2)*$S$2</f>
        <v>26.7176513671875</v>
      </c>
      <c r="D116" s="1">
        <f>(teraterm[[#This Row],[Column2]]-Q$4)*$S$3*1000</f>
        <v>-187.17447916666666</v>
      </c>
      <c r="E116" s="1">
        <f>IF(ABS(VALUE(teraterm[[#This Row],[Column1]]))&lt;4096,VALUE(teraterm[[#This Row],[Column1]]),0)</f>
        <v>285</v>
      </c>
      <c r="F116" s="1">
        <f>teraterm[[#This Row],[V(V)]]^2</f>
        <v>713.83289457857609</v>
      </c>
    </row>
    <row r="117" spans="1:6" x14ac:dyDescent="0.25">
      <c r="A117" s="7">
        <v>270</v>
      </c>
      <c r="B117" s="2">
        <v>-112</v>
      </c>
      <c r="C117" s="1">
        <f>(teraterm[[#This Row],[Value(V)]]+$K$2)*$S$2</f>
        <v>25.349853515625</v>
      </c>
      <c r="D117" s="1">
        <f>(teraterm[[#This Row],[Column2]]-Q$4)*$S$3*1000</f>
        <v>-192.05729166666666</v>
      </c>
      <c r="E117" s="1">
        <f>IF(ABS(VALUE(teraterm[[#This Row],[Column1]]))&lt;4096,VALUE(teraterm[[#This Row],[Column1]]),0)</f>
        <v>270</v>
      </c>
      <c r="F117" s="1">
        <f>teraterm[[#This Row],[V(V)]]^2</f>
        <v>642.61507326364517</v>
      </c>
    </row>
    <row r="118" spans="1:6" x14ac:dyDescent="0.25">
      <c r="A118" s="7">
        <v>267</v>
      </c>
      <c r="B118" s="2">
        <v>-117</v>
      </c>
      <c r="C118" s="1">
        <f>(teraterm[[#This Row],[Value(V)]]+$K$2)*$S$2</f>
        <v>25.0762939453125</v>
      </c>
      <c r="D118" s="1">
        <f>(teraterm[[#This Row],[Column2]]-Q$4)*$S$3*1000</f>
        <v>-194.09179687499997</v>
      </c>
      <c r="E118" s="1">
        <f>IF(ABS(VALUE(teraterm[[#This Row],[Column1]]))&lt;4096,VALUE(teraterm[[#This Row],[Column1]]),0)</f>
        <v>267</v>
      </c>
      <c r="F118" s="1">
        <f>teraterm[[#This Row],[V(V)]]^2</f>
        <v>628.82051803171635</v>
      </c>
    </row>
    <row r="119" spans="1:6" x14ac:dyDescent="0.25">
      <c r="A119" s="7">
        <v>275</v>
      </c>
      <c r="B119" s="2">
        <v>-104</v>
      </c>
      <c r="C119" s="1">
        <f>(teraterm[[#This Row],[Value(V)]]+$K$2)*$S$2</f>
        <v>25.8057861328125</v>
      </c>
      <c r="D119" s="1">
        <f>(teraterm[[#This Row],[Column2]]-Q$4)*$S$3*1000</f>
        <v>-188.80208333333331</v>
      </c>
      <c r="E119" s="1">
        <f>IF(ABS(VALUE(teraterm[[#This Row],[Column1]]))&lt;4096,VALUE(teraterm[[#This Row],[Column1]]),0)</f>
        <v>275</v>
      </c>
      <c r="F119" s="1">
        <f>teraterm[[#This Row],[V(V)]]^2</f>
        <v>665.93859793245792</v>
      </c>
    </row>
    <row r="120" spans="1:6" x14ac:dyDescent="0.25">
      <c r="A120" s="7">
        <v>309</v>
      </c>
      <c r="B120" s="2">
        <v>-90</v>
      </c>
      <c r="C120" s="1">
        <f>(teraterm[[#This Row],[Value(V)]]+$K$2)*$S$2</f>
        <v>28.9061279296875</v>
      </c>
      <c r="D120" s="1">
        <f>(teraterm[[#This Row],[Column2]]-Q$4)*$S$3*1000</f>
        <v>-183.10546874999997</v>
      </c>
      <c r="E120" s="1">
        <f>IF(ABS(VALUE(teraterm[[#This Row],[Column1]]))&lt;4096,VALUE(teraterm[[#This Row],[Column1]]),0)</f>
        <v>309</v>
      </c>
      <c r="F120" s="1">
        <f>teraterm[[#This Row],[V(V)]]^2</f>
        <v>835.56423188745975</v>
      </c>
    </row>
    <row r="121" spans="1:6" x14ac:dyDescent="0.25">
      <c r="A121" s="7">
        <v>422</v>
      </c>
      <c r="B121" s="2">
        <v>-43</v>
      </c>
      <c r="C121" s="1">
        <f>(teraterm[[#This Row],[Value(V)]]+$K$2)*$S$2</f>
        <v>39.210205078125</v>
      </c>
      <c r="D121" s="1">
        <f>(teraterm[[#This Row],[Column2]]-Q$4)*$S$3*1000</f>
        <v>-163.98111979166666</v>
      </c>
      <c r="E121" s="1">
        <f>IF(ABS(VALUE(teraterm[[#This Row],[Column1]]))&lt;4096,VALUE(teraterm[[#This Row],[Column1]]),0)</f>
        <v>422</v>
      </c>
      <c r="F121" s="1">
        <f>teraterm[[#This Row],[V(V)]]^2</f>
        <v>1537.4401822686195</v>
      </c>
    </row>
    <row r="122" spans="1:6" x14ac:dyDescent="0.25">
      <c r="A122" s="7">
        <v>621</v>
      </c>
      <c r="B122" s="2">
        <v>13</v>
      </c>
      <c r="C122" s="1">
        <f>(teraterm[[#This Row],[Value(V)]]+$K$2)*$S$2</f>
        <v>57.3563232421875</v>
      </c>
      <c r="D122" s="1">
        <f>(teraterm[[#This Row],[Column2]]-Q$4)*$S$3*1000</f>
        <v>-141.19466145833331</v>
      </c>
      <c r="E122" s="1">
        <f>IF(ABS(VALUE(teraterm[[#This Row],[Column1]]))&lt;4096,VALUE(teraterm[[#This Row],[Column1]]),0)</f>
        <v>621</v>
      </c>
      <c r="F122" s="1">
        <f>teraterm[[#This Row],[V(V)]]^2</f>
        <v>3289.747815862298</v>
      </c>
    </row>
    <row r="123" spans="1:6" x14ac:dyDescent="0.25">
      <c r="A123" s="7">
        <v>823</v>
      </c>
      <c r="B123" s="2">
        <v>69</v>
      </c>
      <c r="C123" s="1">
        <f>(teraterm[[#This Row],[Value(V)]]+$K$2)*$S$2</f>
        <v>75.7760009765625</v>
      </c>
      <c r="D123" s="1">
        <f>(teraterm[[#This Row],[Column2]]-Q$4)*$S$3*1000</f>
        <v>-118.40820312499999</v>
      </c>
      <c r="E123" s="1">
        <f>IF(ABS(VALUE(teraterm[[#This Row],[Column1]]))&lt;4096,VALUE(teraterm[[#This Row],[Column1]]),0)</f>
        <v>823</v>
      </c>
      <c r="F123" s="1">
        <f>teraterm[[#This Row],[V(V)]]^2</f>
        <v>5742.002324000001</v>
      </c>
    </row>
    <row r="124" spans="1:6" x14ac:dyDescent="0.25">
      <c r="A124" s="7">
        <v>1035</v>
      </c>
      <c r="B124" s="2">
        <v>135</v>
      </c>
      <c r="C124" s="1">
        <f>(teraterm[[#This Row],[Value(V)]]+$K$2)*$S$2</f>
        <v>95.1075439453125</v>
      </c>
      <c r="D124" s="1">
        <f>(teraterm[[#This Row],[Column2]]-Q$4)*$S$3*1000</f>
        <v>-91.552734374999986</v>
      </c>
      <c r="E124" s="1">
        <f>IF(ABS(VALUE(teraterm[[#This Row],[Column1]]))&lt;4096,VALUE(teraterm[[#This Row],[Column1]]),0)</f>
        <v>1035</v>
      </c>
      <c r="F124" s="1">
        <f>teraterm[[#This Row],[V(V)]]^2</f>
        <v>9045.4449153095484</v>
      </c>
    </row>
    <row r="125" spans="1:6" x14ac:dyDescent="0.25">
      <c r="A125" s="7">
        <v>1266</v>
      </c>
      <c r="B125" s="2">
        <v>178</v>
      </c>
      <c r="C125" s="1">
        <f>(teraterm[[#This Row],[Value(V)]]+$K$2)*$S$2</f>
        <v>116.171630859375</v>
      </c>
      <c r="D125" s="1">
        <f>(teraterm[[#This Row],[Column2]]-Q$4)*$S$3*1000</f>
        <v>-74.055989583333329</v>
      </c>
      <c r="E125" s="1">
        <f>IF(ABS(VALUE(teraterm[[#This Row],[Column1]]))&lt;4096,VALUE(teraterm[[#This Row],[Column1]]),0)</f>
        <v>1266</v>
      </c>
      <c r="F125" s="1">
        <f>teraterm[[#This Row],[V(V)]]^2</f>
        <v>13495.84781652689</v>
      </c>
    </row>
    <row r="126" spans="1:6" x14ac:dyDescent="0.25">
      <c r="A126" s="7">
        <v>1506</v>
      </c>
      <c r="B126" s="2">
        <v>229</v>
      </c>
      <c r="C126" s="1">
        <f>(teraterm[[#This Row],[Value(V)]]+$K$2)*$S$2</f>
        <v>138.056396484375</v>
      </c>
      <c r="D126" s="1">
        <f>(teraterm[[#This Row],[Column2]]-Q$4)*$S$3*1000</f>
        <v>-53.304036458333329</v>
      </c>
      <c r="E126" s="1">
        <f>IF(ABS(VALUE(teraterm[[#This Row],[Column1]]))&lt;4096,VALUE(teraterm[[#This Row],[Column1]]),0)</f>
        <v>1506</v>
      </c>
      <c r="F126" s="1">
        <f>teraterm[[#This Row],[V(V)]]^2</f>
        <v>19059.56861025095</v>
      </c>
    </row>
    <row r="127" spans="1:6" x14ac:dyDescent="0.25">
      <c r="A127" s="7">
        <v>1761</v>
      </c>
      <c r="B127" s="2">
        <v>267</v>
      </c>
      <c r="C127" s="1">
        <f>(teraterm[[#This Row],[Value(V)]]+$K$2)*$S$2</f>
        <v>161.3089599609375</v>
      </c>
      <c r="D127" s="1">
        <f>(teraterm[[#This Row],[Column2]]-Q$4)*$S$3*1000</f>
        <v>-37.841796875</v>
      </c>
      <c r="E127" s="1">
        <f>IF(ABS(VALUE(teraterm[[#This Row],[Column1]]))&lt;4096,VALUE(teraterm[[#This Row],[Column1]]),0)</f>
        <v>1761</v>
      </c>
      <c r="F127" s="1">
        <f>teraterm[[#This Row],[V(V)]]^2</f>
        <v>26020.580563679338</v>
      </c>
    </row>
    <row r="128" spans="1:6" x14ac:dyDescent="0.25">
      <c r="A128" s="7">
        <v>2032</v>
      </c>
      <c r="B128" s="2">
        <v>321</v>
      </c>
      <c r="C128" s="1">
        <f>(teraterm[[#This Row],[Value(V)]]+$K$2)*$S$2</f>
        <v>186.0205078125</v>
      </c>
      <c r="D128" s="1">
        <f>(teraterm[[#This Row],[Column2]]-Q$4)*$S$3*1000</f>
        <v>-15.869140625</v>
      </c>
      <c r="E128" s="1">
        <f>IF(ABS(VALUE(teraterm[[#This Row],[Column1]]))&lt;4096,VALUE(teraterm[[#This Row],[Column1]]),0)</f>
        <v>2032</v>
      </c>
      <c r="F128" s="1">
        <f>teraterm[[#This Row],[V(V)]]^2</f>
        <v>34603.629326820374</v>
      </c>
    </row>
    <row r="129" spans="1:6" x14ac:dyDescent="0.25">
      <c r="A129" s="7">
        <v>2311</v>
      </c>
      <c r="B129" s="2">
        <v>383</v>
      </c>
      <c r="C129" s="1">
        <f>(teraterm[[#This Row],[Value(V)]]+$K$2)*$S$2</f>
        <v>211.4615478515625</v>
      </c>
      <c r="D129" s="1">
        <f>(teraterm[[#This Row],[Column2]]-Q$4)*$S$3*1000</f>
        <v>9.3587239583333321</v>
      </c>
      <c r="E129" s="1">
        <f>IF(ABS(VALUE(teraterm[[#This Row],[Column1]]))&lt;4096,VALUE(teraterm[[#This Row],[Column1]]),0)</f>
        <v>2311</v>
      </c>
      <c r="F129" s="1">
        <f>teraterm[[#This Row],[V(V)]]^2</f>
        <v>44715.986219778657</v>
      </c>
    </row>
    <row r="130" spans="1:6" x14ac:dyDescent="0.25">
      <c r="A130" s="7">
        <v>2569</v>
      </c>
      <c r="B130" s="2">
        <v>407</v>
      </c>
      <c r="C130" s="1">
        <f>(teraterm[[#This Row],[Value(V)]]+$K$2)*$S$2</f>
        <v>234.9876708984375</v>
      </c>
      <c r="D130" s="1">
        <f>(teraterm[[#This Row],[Column2]]-Q$4)*$S$3*1000</f>
        <v>19.124348958333332</v>
      </c>
      <c r="E130" s="1">
        <f>IF(ABS(VALUE(teraterm[[#This Row],[Column1]]))&lt;4096,VALUE(teraterm[[#This Row],[Column1]]),0)</f>
        <v>2569</v>
      </c>
      <c r="F130" s="1">
        <f>teraterm[[#This Row],[V(V)]]^2</f>
        <v>55219.20547427237</v>
      </c>
    </row>
    <row r="131" spans="1:6" x14ac:dyDescent="0.25">
      <c r="A131" s="7">
        <v>2813</v>
      </c>
      <c r="B131" s="2">
        <v>453</v>
      </c>
      <c r="C131" s="1">
        <f>(teraterm[[#This Row],[Value(V)]]+$K$2)*$S$2</f>
        <v>257.2371826171875</v>
      </c>
      <c r="D131" s="1">
        <f>(teraterm[[#This Row],[Column2]]-Q$4)*$S$3*1000</f>
        <v>37.841796875</v>
      </c>
      <c r="E131" s="1">
        <f>IF(ABS(VALUE(teraterm[[#This Row],[Column1]]))&lt;4096,VALUE(teraterm[[#This Row],[Column1]]),0)</f>
        <v>2813</v>
      </c>
      <c r="F131" s="1">
        <f>teraterm[[#This Row],[V(V)]]^2</f>
        <v>66170.968120828271</v>
      </c>
    </row>
    <row r="132" spans="1:6" x14ac:dyDescent="0.25">
      <c r="A132" s="7">
        <v>3045</v>
      </c>
      <c r="B132" s="2">
        <v>472</v>
      </c>
      <c r="C132" s="1">
        <f>(teraterm[[#This Row],[Value(V)]]+$K$2)*$S$2</f>
        <v>278.3924560546875</v>
      </c>
      <c r="D132" s="1">
        <f>(teraterm[[#This Row],[Column2]]-Q$4)*$S$3*1000</f>
        <v>45.572916666666664</v>
      </c>
      <c r="E132" s="1">
        <f>IF(ABS(VALUE(teraterm[[#This Row],[Column1]]))&lt;4096,VALUE(teraterm[[#This Row],[Column1]]),0)</f>
        <v>3045</v>
      </c>
      <c r="F132" s="1">
        <f>teraterm[[#This Row],[V(V)]]^2</f>
        <v>77502.359588161111</v>
      </c>
    </row>
    <row r="133" spans="1:6" x14ac:dyDescent="0.25">
      <c r="A133" s="7">
        <v>3263</v>
      </c>
      <c r="B133" s="2">
        <v>516</v>
      </c>
      <c r="C133" s="1">
        <f>(teraterm[[#This Row],[Value(V)]]+$K$2)*$S$2</f>
        <v>298.2711181640625</v>
      </c>
      <c r="D133" s="1">
        <f>(teraterm[[#This Row],[Column2]]-Q$4)*$S$3*1000</f>
        <v>63.4765625</v>
      </c>
      <c r="E133" s="1">
        <f>IF(ABS(VALUE(teraterm[[#This Row],[Column1]]))&lt;4096,VALUE(teraterm[[#This Row],[Column1]]),0)</f>
        <v>3263</v>
      </c>
      <c r="F133" s="1">
        <f>teraterm[[#This Row],[V(V)]]^2</f>
        <v>88965.659930840135</v>
      </c>
    </row>
    <row r="134" spans="1:6" x14ac:dyDescent="0.25">
      <c r="A134" s="7">
        <v>3468</v>
      </c>
      <c r="B134" s="2">
        <v>569</v>
      </c>
      <c r="C134" s="1">
        <f>(teraterm[[#This Row],[Value(V)]]+$K$2)*$S$2</f>
        <v>316.96435546875</v>
      </c>
      <c r="D134" s="1">
        <f>(teraterm[[#This Row],[Column2]]-Q$4)*$S$3*1000</f>
        <v>85.042317708333329</v>
      </c>
      <c r="E134" s="1">
        <f>IF(ABS(VALUE(teraterm[[#This Row],[Column1]]))&lt;4096,VALUE(teraterm[[#This Row],[Column1]]),0)</f>
        <v>3468</v>
      </c>
      <c r="F134" s="1">
        <f>teraterm[[#This Row],[V(V)]]^2</f>
        <v>100466.40263772011</v>
      </c>
    </row>
    <row r="135" spans="1:6" x14ac:dyDescent="0.25">
      <c r="A135" s="7">
        <v>3654</v>
      </c>
      <c r="B135" s="2">
        <v>610</v>
      </c>
      <c r="C135" s="1">
        <f>(teraterm[[#This Row],[Value(V)]]+$K$2)*$S$2</f>
        <v>333.925048828125</v>
      </c>
      <c r="D135" s="1">
        <f>(teraterm[[#This Row],[Column2]]-Q$4)*$S$3*1000</f>
        <v>101.72526041666666</v>
      </c>
      <c r="E135" s="1">
        <f>IF(ABS(VALUE(teraterm[[#This Row],[Column1]]))&lt;4096,VALUE(teraterm[[#This Row],[Column1]]),0)</f>
        <v>3654</v>
      </c>
      <c r="F135" s="1">
        <f>teraterm[[#This Row],[V(V)]]^2</f>
        <v>111505.93823486567</v>
      </c>
    </row>
    <row r="136" spans="1:6" x14ac:dyDescent="0.25">
      <c r="A136" s="7">
        <v>3791</v>
      </c>
      <c r="B136" s="2">
        <v>614</v>
      </c>
      <c r="C136" s="1">
        <f>(teraterm[[#This Row],[Value(V)]]+$K$2)*$S$2</f>
        <v>346.4176025390625</v>
      </c>
      <c r="D136" s="1">
        <f>(teraterm[[#This Row],[Column2]]-Q$4)*$S$3*1000</f>
        <v>103.35286458333333</v>
      </c>
      <c r="E136" s="1">
        <f>IF(ABS(VALUE(teraterm[[#This Row],[Column1]]))&lt;4096,VALUE(teraterm[[#This Row],[Column1]]),0)</f>
        <v>3791</v>
      </c>
      <c r="F136" s="1">
        <f>teraterm[[#This Row],[V(V)]]^2</f>
        <v>120005.15534891188</v>
      </c>
    </row>
    <row r="137" spans="1:6" x14ac:dyDescent="0.25">
      <c r="A137" s="7">
        <v>3917</v>
      </c>
      <c r="B137" s="2">
        <v>644</v>
      </c>
      <c r="C137" s="1">
        <f>(teraterm[[#This Row],[Value(V)]]+$K$2)*$S$2</f>
        <v>357.9071044921875</v>
      </c>
      <c r="D137" s="1">
        <f>(teraterm[[#This Row],[Column2]]-Q$4)*$S$3*1000</f>
        <v>115.55989583333333</v>
      </c>
      <c r="E137" s="1">
        <f>IF(ABS(VALUE(teraterm[[#This Row],[Column1]]))&lt;4096,VALUE(teraterm[[#This Row],[Column1]]),0)</f>
        <v>3917</v>
      </c>
      <c r="F137" s="1">
        <f>teraterm[[#This Row],[V(V)]]^2</f>
        <v>128097.49544598162</v>
      </c>
    </row>
    <row r="138" spans="1:6" x14ac:dyDescent="0.25">
      <c r="A138" s="7">
        <v>3994</v>
      </c>
      <c r="B138" s="2">
        <v>651</v>
      </c>
      <c r="C138" s="1">
        <f>(teraterm[[#This Row],[Value(V)]]+$K$2)*$S$2</f>
        <v>364.928466796875</v>
      </c>
      <c r="D138" s="1">
        <f>(teraterm[[#This Row],[Column2]]-Q$4)*$S$3*1000</f>
        <v>118.40820312499999</v>
      </c>
      <c r="E138" s="1">
        <f>IF(ABS(VALUE(teraterm[[#This Row],[Column1]]))&lt;4096,VALUE(teraterm[[#This Row],[Column1]]),0)</f>
        <v>3994</v>
      </c>
      <c r="F138" s="1">
        <f>teraterm[[#This Row],[V(V)]]^2</f>
        <v>133172.7858787179</v>
      </c>
    </row>
    <row r="139" spans="1:6" x14ac:dyDescent="0.25">
      <c r="A139" s="7">
        <v>4016</v>
      </c>
      <c r="B139" s="2">
        <v>666</v>
      </c>
      <c r="C139" s="1">
        <f>(teraterm[[#This Row],[Value(V)]]+$K$2)*$S$2</f>
        <v>366.9345703125</v>
      </c>
      <c r="D139" s="1">
        <f>(teraterm[[#This Row],[Column2]]-Q$4)*$S$3*1000</f>
        <v>124.51171874999999</v>
      </c>
      <c r="E139" s="1">
        <f>IF(ABS(VALUE(teraterm[[#This Row],[Column1]]))&lt;4096,VALUE(teraterm[[#This Row],[Column1]]),0)</f>
        <v>4016</v>
      </c>
      <c r="F139" s="1">
        <f>teraterm[[#This Row],[V(V)]]^2</f>
        <v>134640.97889041901</v>
      </c>
    </row>
    <row r="140" spans="1:6" x14ac:dyDescent="0.25">
      <c r="A140" s="7">
        <v>4026</v>
      </c>
      <c r="B140" s="2">
        <v>667</v>
      </c>
      <c r="C140" s="1">
        <f>(teraterm[[#This Row],[Value(V)]]+$K$2)*$S$2</f>
        <v>367.846435546875</v>
      </c>
      <c r="D140" s="1">
        <f>(teraterm[[#This Row],[Column2]]-Q$4)*$S$3*1000</f>
        <v>124.91861979166666</v>
      </c>
      <c r="E140" s="1">
        <f>IF(ABS(VALUE(teraterm[[#This Row],[Column1]]))&lt;4096,VALUE(teraterm[[#This Row],[Column1]]),0)</f>
        <v>4026</v>
      </c>
      <c r="F140" s="1">
        <f>teraterm[[#This Row],[V(V)]]^2</f>
        <v>135311.00014454126</v>
      </c>
    </row>
    <row r="141" spans="1:6" x14ac:dyDescent="0.25">
      <c r="A141" s="7">
        <v>4028</v>
      </c>
      <c r="B141" s="2">
        <v>655</v>
      </c>
      <c r="C141" s="1">
        <f>(teraterm[[#This Row],[Value(V)]]+$K$2)*$S$2</f>
        <v>368.02880859375</v>
      </c>
      <c r="D141" s="1">
        <f>(teraterm[[#This Row],[Column2]]-Q$4)*$S$3*1000</f>
        <v>120.03580729166666</v>
      </c>
      <c r="E141" s="1">
        <f>IF(ABS(VALUE(teraterm[[#This Row],[Column1]]))&lt;4096,VALUE(teraterm[[#This Row],[Column1]]),0)</f>
        <v>4028</v>
      </c>
      <c r="F141" s="1">
        <f>teraterm[[#This Row],[V(V)]]^2</f>
        <v>135445.20395493507</v>
      </c>
    </row>
    <row r="142" spans="1:6" x14ac:dyDescent="0.25">
      <c r="A142" s="7">
        <v>4014</v>
      </c>
      <c r="B142" s="2">
        <v>647</v>
      </c>
      <c r="C142" s="1">
        <f>(teraterm[[#This Row],[Value(V)]]+$K$2)*$S$2</f>
        <v>366.752197265625</v>
      </c>
      <c r="D142" s="1">
        <f>(teraterm[[#This Row],[Column2]]-Q$4)*$S$3*1000</f>
        <v>116.78059895833333</v>
      </c>
      <c r="E142" s="1">
        <f>IF(ABS(VALUE(teraterm[[#This Row],[Column1]]))&lt;4096,VALUE(teraterm[[#This Row],[Column1]]),0)</f>
        <v>4014</v>
      </c>
      <c r="F142" s="1">
        <f>teraterm[[#This Row],[V(V)]]^2</f>
        <v>134507.17419916391</v>
      </c>
    </row>
    <row r="143" spans="1:6" x14ac:dyDescent="0.25">
      <c r="A143" s="7">
        <v>3940</v>
      </c>
      <c r="B143" s="2">
        <v>642</v>
      </c>
      <c r="C143" s="1">
        <f>(teraterm[[#This Row],[Value(V)]]+$K$2)*$S$2</f>
        <v>360.00439453125</v>
      </c>
      <c r="D143" s="1">
        <f>(teraterm[[#This Row],[Column2]]-Q$4)*$S$3*1000</f>
        <v>114.74609374999999</v>
      </c>
      <c r="E143" s="1">
        <f>IF(ABS(VALUE(teraterm[[#This Row],[Column1]]))&lt;4096,VALUE(teraterm[[#This Row],[Column1]]),0)</f>
        <v>3940</v>
      </c>
      <c r="F143" s="1">
        <f>teraterm[[#This Row],[V(V)]]^2</f>
        <v>129603.1640818119</v>
      </c>
    </row>
    <row r="144" spans="1:6" x14ac:dyDescent="0.25">
      <c r="A144" s="7">
        <v>3778</v>
      </c>
      <c r="B144" s="2">
        <v>606</v>
      </c>
      <c r="C144" s="1">
        <f>(teraterm[[#This Row],[Value(V)]]+$K$2)*$S$2</f>
        <v>345.232177734375</v>
      </c>
      <c r="D144" s="1">
        <f>(teraterm[[#This Row],[Column2]]-Q$4)*$S$3*1000</f>
        <v>100.09765624999999</v>
      </c>
      <c r="E144" s="1">
        <f>IF(ABS(VALUE(teraterm[[#This Row],[Column1]]))&lt;4096,VALUE(teraterm[[#This Row],[Column1]]),0)</f>
        <v>3778</v>
      </c>
      <c r="F144" s="1">
        <f>teraterm[[#This Row],[V(V)]]^2</f>
        <v>119185.25654321909</v>
      </c>
    </row>
    <row r="145" spans="1:6" x14ac:dyDescent="0.25">
      <c r="A145" s="7">
        <v>3590</v>
      </c>
      <c r="B145" s="2">
        <v>567</v>
      </c>
      <c r="C145" s="1">
        <f>(teraterm[[#This Row],[Value(V)]]+$K$2)*$S$2</f>
        <v>328.089111328125</v>
      </c>
      <c r="D145" s="1">
        <f>(teraterm[[#This Row],[Column2]]-Q$4)*$S$3*1000</f>
        <v>84.228515624999986</v>
      </c>
      <c r="E145" s="1">
        <f>IF(ABS(VALUE(teraterm[[#This Row],[Column1]]))&lt;4096,VALUE(teraterm[[#This Row],[Column1]]),0)</f>
        <v>3590</v>
      </c>
      <c r="F145" s="1">
        <f>teraterm[[#This Row],[V(V)]]^2</f>
        <v>107642.4649720788</v>
      </c>
    </row>
    <row r="146" spans="1:6" x14ac:dyDescent="0.25">
      <c r="A146" s="7">
        <v>3393</v>
      </c>
      <c r="B146" s="2">
        <v>523</v>
      </c>
      <c r="C146" s="1">
        <f>(teraterm[[#This Row],[Value(V)]]+$K$2)*$S$2</f>
        <v>310.1253662109375</v>
      </c>
      <c r="D146" s="1">
        <f>(teraterm[[#This Row],[Column2]]-Q$4)*$S$3*1000</f>
        <v>66.324869791666657</v>
      </c>
      <c r="E146" s="1">
        <f>IF(ABS(VALUE(teraterm[[#This Row],[Column1]]))&lt;4096,VALUE(teraterm[[#This Row],[Column1]]),0)</f>
        <v>3393</v>
      </c>
      <c r="F146" s="1">
        <f>teraterm[[#This Row],[V(V)]]^2</f>
        <v>96177.742767468095</v>
      </c>
    </row>
    <row r="147" spans="1:6" x14ac:dyDescent="0.25">
      <c r="A147" s="7">
        <v>3181</v>
      </c>
      <c r="B147" s="2">
        <v>503</v>
      </c>
      <c r="C147" s="1">
        <f>(teraterm[[#This Row],[Value(V)]]+$K$2)*$S$2</f>
        <v>290.7938232421875</v>
      </c>
      <c r="D147" s="1">
        <f>(teraterm[[#This Row],[Column2]]-Q$4)*$S$3*1000</f>
        <v>58.186848958333329</v>
      </c>
      <c r="E147" s="1">
        <f>IF(ABS(VALUE(teraterm[[#This Row],[Column1]]))&lt;4096,VALUE(teraterm[[#This Row],[Column1]]),0)</f>
        <v>3181</v>
      </c>
      <c r="F147" s="1">
        <f>teraterm[[#This Row],[V(V)]]^2</f>
        <v>84561.047635808587</v>
      </c>
    </row>
    <row r="148" spans="1:6" x14ac:dyDescent="0.25">
      <c r="A148" s="7">
        <v>2943</v>
      </c>
      <c r="B148" s="2">
        <v>479</v>
      </c>
      <c r="C148" s="1">
        <f>(teraterm[[#This Row],[Value(V)]]+$K$2)*$S$2</f>
        <v>269.0914306640625</v>
      </c>
      <c r="D148" s="1">
        <f>(teraterm[[#This Row],[Column2]]-Q$4)*$S$3*1000</f>
        <v>48.421223958333329</v>
      </c>
      <c r="E148" s="1">
        <f>IF(ABS(VALUE(teraterm[[#This Row],[Column1]]))&lt;4096,VALUE(teraterm[[#This Row],[Column1]]),0)</f>
        <v>2943</v>
      </c>
      <c r="F148" s="1">
        <f>teraterm[[#This Row],[V(V)]]^2</f>
        <v>72410.198056831956</v>
      </c>
    </row>
    <row r="149" spans="1:6" x14ac:dyDescent="0.25">
      <c r="A149" s="7">
        <v>2698</v>
      </c>
      <c r="B149" s="2">
        <v>412</v>
      </c>
      <c r="C149" s="1">
        <f>(teraterm[[#This Row],[Value(V)]]+$K$2)*$S$2</f>
        <v>246.750732421875</v>
      </c>
      <c r="D149" s="1">
        <f>(teraterm[[#This Row],[Column2]]-Q$4)*$S$3*1000</f>
        <v>21.158854166666664</v>
      </c>
      <c r="E149" s="1">
        <f>IF(ABS(VALUE(teraterm[[#This Row],[Column1]]))&lt;4096,VALUE(teraterm[[#This Row],[Column1]]),0)</f>
        <v>2698</v>
      </c>
      <c r="F149" s="1">
        <f>teraterm[[#This Row],[V(V)]]^2</f>
        <v>60885.923950731754</v>
      </c>
    </row>
    <row r="150" spans="1:6" x14ac:dyDescent="0.25">
      <c r="A150" s="7">
        <v>2433</v>
      </c>
      <c r="B150" s="2">
        <v>371</v>
      </c>
      <c r="C150" s="1">
        <f>(teraterm[[#This Row],[Value(V)]]+$K$2)*$S$2</f>
        <v>222.5863037109375</v>
      </c>
      <c r="D150" s="1">
        <f>(teraterm[[#This Row],[Column2]]-Q$4)*$S$3*1000</f>
        <v>4.475911458333333</v>
      </c>
      <c r="E150" s="1">
        <f>IF(ABS(VALUE(teraterm[[#This Row],[Column1]]))&lt;4096,VALUE(teraterm[[#This Row],[Column1]]),0)</f>
        <v>2433</v>
      </c>
      <c r="F150" s="1">
        <f>teraterm[[#This Row],[V(V)]]^2</f>
        <v>49544.662599697709</v>
      </c>
    </row>
    <row r="151" spans="1:6" x14ac:dyDescent="0.25">
      <c r="A151" s="7">
        <v>2154</v>
      </c>
      <c r="B151" s="2">
        <v>309</v>
      </c>
      <c r="C151" s="1">
        <f>(teraterm[[#This Row],[Value(V)]]+$K$2)*$S$2</f>
        <v>197.145263671875</v>
      </c>
      <c r="D151" s="1">
        <f>(teraterm[[#This Row],[Column2]]-Q$4)*$S$3*1000</f>
        <v>-20.751953124999996</v>
      </c>
      <c r="E151" s="1">
        <f>IF(ABS(VALUE(teraterm[[#This Row],[Column1]]))&lt;4096,VALUE(teraterm[[#This Row],[Column1]]),0)</f>
        <v>2154</v>
      </c>
      <c r="F151" s="1">
        <f>teraterm[[#This Row],[V(V)]]^2</f>
        <v>38866.254988253117</v>
      </c>
    </row>
    <row r="152" spans="1:6" x14ac:dyDescent="0.25">
      <c r="A152" s="7">
        <v>1879</v>
      </c>
      <c r="B152" s="2">
        <v>282</v>
      </c>
      <c r="C152" s="1">
        <f>(teraterm[[#This Row],[Value(V)]]+$K$2)*$S$2</f>
        <v>172.0689697265625</v>
      </c>
      <c r="D152" s="1">
        <f>(teraterm[[#This Row],[Column2]]-Q$4)*$S$3*1000</f>
        <v>-31.73828125</v>
      </c>
      <c r="E152" s="1">
        <f>IF(ABS(VALUE(teraterm[[#This Row],[Column1]]))&lt;4096,VALUE(teraterm[[#This Row],[Column1]]),0)</f>
        <v>1879</v>
      </c>
      <c r="F152" s="1">
        <f>teraterm[[#This Row],[V(V)]]^2</f>
        <v>29607.730342760682</v>
      </c>
    </row>
    <row r="153" spans="1:6" x14ac:dyDescent="0.25">
      <c r="A153" s="7">
        <v>1623</v>
      </c>
      <c r="B153" s="2">
        <v>237</v>
      </c>
      <c r="C153" s="1">
        <f>(teraterm[[#This Row],[Value(V)]]+$K$2)*$S$2</f>
        <v>148.7252197265625</v>
      </c>
      <c r="D153" s="1">
        <f>(teraterm[[#This Row],[Column2]]-Q$4)*$S$3*1000</f>
        <v>-50.048828124999993</v>
      </c>
      <c r="E153" s="1">
        <f>IF(ABS(VALUE(teraterm[[#This Row],[Column1]]))&lt;4096,VALUE(teraterm[[#This Row],[Column1]]),0)</f>
        <v>1623</v>
      </c>
      <c r="F153" s="1">
        <f>teraterm[[#This Row],[V(V)]]^2</f>
        <v>22119.190982714295</v>
      </c>
    </row>
    <row r="154" spans="1:6" x14ac:dyDescent="0.25">
      <c r="A154" s="7">
        <v>1378</v>
      </c>
      <c r="B154" s="2">
        <v>212</v>
      </c>
      <c r="C154" s="1">
        <f>(teraterm[[#This Row],[Value(V)]]+$K$2)*$S$2</f>
        <v>126.384521484375</v>
      </c>
      <c r="D154" s="1">
        <f>(teraterm[[#This Row],[Column2]]-Q$4)*$S$3*1000</f>
        <v>-60.221354166666664</v>
      </c>
      <c r="E154" s="1">
        <f>IF(ABS(VALUE(teraterm[[#This Row],[Column1]]))&lt;4096,VALUE(teraterm[[#This Row],[Column1]]),0)</f>
        <v>1378</v>
      </c>
      <c r="F154" s="1">
        <f>teraterm[[#This Row],[V(V)]]^2</f>
        <v>15973.047270834446</v>
      </c>
    </row>
    <row r="155" spans="1:6" x14ac:dyDescent="0.25">
      <c r="A155" s="7">
        <v>1147</v>
      </c>
      <c r="B155" s="2">
        <v>139</v>
      </c>
      <c r="C155" s="1">
        <f>(teraterm[[#This Row],[Value(V)]]+$K$2)*$S$2</f>
        <v>105.3204345703125</v>
      </c>
      <c r="D155" s="1">
        <f>(teraterm[[#This Row],[Column2]]-Q$4)*$S$3*1000</f>
        <v>-89.925130208333329</v>
      </c>
      <c r="E155" s="1">
        <f>IF(ABS(VALUE(teraterm[[#This Row],[Column1]]))&lt;4096,VALUE(teraterm[[#This Row],[Column1]]),0)</f>
        <v>1147</v>
      </c>
      <c r="F155" s="1">
        <f>teraterm[[#This Row],[V(V)]]^2</f>
        <v>11092.393938079476</v>
      </c>
    </row>
    <row r="156" spans="1:6" x14ac:dyDescent="0.25">
      <c r="A156" s="7">
        <v>929</v>
      </c>
      <c r="B156" s="2">
        <v>81</v>
      </c>
      <c r="C156" s="1">
        <f>(teraterm[[#This Row],[Value(V)]]+$K$2)*$S$2</f>
        <v>85.4417724609375</v>
      </c>
      <c r="D156" s="1">
        <f>(teraterm[[#This Row],[Column2]]-Q$4)*$S$3*1000</f>
        <v>-113.52539062499999</v>
      </c>
      <c r="E156" s="1">
        <f>IF(ABS(VALUE(teraterm[[#This Row],[Column1]]))&lt;4096,VALUE(teraterm[[#This Row],[Column1]]),0)</f>
        <v>929</v>
      </c>
      <c r="F156" s="1">
        <f>teraterm[[#This Row],[V(V)]]^2</f>
        <v>7300.2964812666178</v>
      </c>
    </row>
    <row r="157" spans="1:6" x14ac:dyDescent="0.25">
      <c r="A157" s="7">
        <v>716</v>
      </c>
      <c r="B157" s="2">
        <v>14</v>
      </c>
      <c r="C157" s="1">
        <f>(teraterm[[#This Row],[Value(V)]]+$K$2)*$S$2</f>
        <v>66.01904296875</v>
      </c>
      <c r="D157" s="1">
        <f>(teraterm[[#This Row],[Column2]]-Q$4)*$S$3*1000</f>
        <v>-140.78776041666666</v>
      </c>
      <c r="E157" s="1">
        <f>IF(ABS(VALUE(teraterm[[#This Row],[Column1]]))&lt;4096,VALUE(teraterm[[#This Row],[Column1]]),0)</f>
        <v>716</v>
      </c>
      <c r="F157" s="1">
        <f>teraterm[[#This Row],[V(V)]]^2</f>
        <v>4358.5140345096588</v>
      </c>
    </row>
    <row r="158" spans="1:6" x14ac:dyDescent="0.25">
      <c r="A158" s="7">
        <v>554</v>
      </c>
      <c r="B158" s="2">
        <v>-28</v>
      </c>
      <c r="C158" s="1">
        <f>(teraterm[[#This Row],[Value(V)]]+$K$2)*$S$2</f>
        <v>51.246826171875</v>
      </c>
      <c r="D158" s="1">
        <f>(teraterm[[#This Row],[Column2]]-Q$4)*$S$3*1000</f>
        <v>-157.87760416666666</v>
      </c>
      <c r="E158" s="1">
        <f>IF(ABS(VALUE(teraterm[[#This Row],[Column1]]))&lt;4096,VALUE(teraterm[[#This Row],[Column1]]),0)</f>
        <v>554</v>
      </c>
      <c r="F158" s="1">
        <f>teraterm[[#This Row],[V(V)]]^2</f>
        <v>2626.2371926903725</v>
      </c>
    </row>
    <row r="159" spans="1:6" x14ac:dyDescent="0.25">
      <c r="A159" s="7">
        <v>418</v>
      </c>
      <c r="B159" s="2">
        <v>-57</v>
      </c>
      <c r="C159" s="1">
        <f>(teraterm[[#This Row],[Value(V)]]+$K$2)*$S$2</f>
        <v>38.845458984375</v>
      </c>
      <c r="D159" s="1">
        <f>(teraterm[[#This Row],[Column2]]-Q$4)*$S$3*1000</f>
        <v>-169.67773437499997</v>
      </c>
      <c r="E159" s="1">
        <f>IF(ABS(VALUE(teraterm[[#This Row],[Column1]]))&lt;4096,VALUE(teraterm[[#This Row],[Column1]]),0)</f>
        <v>418</v>
      </c>
      <c r="F159" s="1">
        <f>teraterm[[#This Row],[V(V)]]^2</f>
        <v>1508.9696837067604</v>
      </c>
    </row>
    <row r="160" spans="1:6" x14ac:dyDescent="0.25">
      <c r="A160" s="7">
        <v>308</v>
      </c>
      <c r="B160" s="2">
        <v>-108</v>
      </c>
      <c r="C160" s="1">
        <f>(teraterm[[#This Row],[Value(V)]]+$K$2)*$S$2</f>
        <v>28.81494140625</v>
      </c>
      <c r="D160" s="1">
        <f>(teraterm[[#This Row],[Column2]]-Q$4)*$S$3*1000</f>
        <v>-190.42968749999997</v>
      </c>
      <c r="E160" s="1">
        <f>IF(ABS(VALUE(teraterm[[#This Row],[Column1]]))&lt;4096,VALUE(teraterm[[#This Row],[Column1]]),0)</f>
        <v>308</v>
      </c>
      <c r="F160" s="1">
        <f>teraterm[[#This Row],[V(V)]]^2</f>
        <v>830.30084824562073</v>
      </c>
    </row>
    <row r="161" spans="1:6" x14ac:dyDescent="0.25">
      <c r="A161" s="7">
        <v>277</v>
      </c>
      <c r="B161" s="2">
        <v>-117</v>
      </c>
      <c r="C161" s="1">
        <f>(teraterm[[#This Row],[Value(V)]]+$K$2)*$S$2</f>
        <v>25.9881591796875</v>
      </c>
      <c r="D161" s="1">
        <f>(teraterm[[#This Row],[Column2]]-Q$4)*$S$3*1000</f>
        <v>-194.09179687499997</v>
      </c>
      <c r="E161" s="1">
        <f>IF(ABS(VALUE(teraterm[[#This Row],[Column1]]))&lt;4096,VALUE(teraterm[[#This Row],[Column1]]),0)</f>
        <v>277</v>
      </c>
      <c r="F161" s="1">
        <f>teraterm[[#This Row],[V(V)]]^2</f>
        <v>675.38441754877567</v>
      </c>
    </row>
    <row r="162" spans="1:6" x14ac:dyDescent="0.25">
      <c r="A162" s="7">
        <v>267</v>
      </c>
      <c r="B162" s="2">
        <v>-117</v>
      </c>
      <c r="C162" s="1">
        <f>(teraterm[[#This Row],[Value(V)]]+$K$2)*$S$2</f>
        <v>25.0762939453125</v>
      </c>
      <c r="D162" s="1">
        <f>(teraterm[[#This Row],[Column2]]-Q$4)*$S$3*1000</f>
        <v>-194.09179687499997</v>
      </c>
      <c r="E162" s="1">
        <f>IF(ABS(VALUE(teraterm[[#This Row],[Column1]]))&lt;4096,VALUE(teraterm[[#This Row],[Column1]]),0)</f>
        <v>267</v>
      </c>
      <c r="F162" s="1">
        <f>teraterm[[#This Row],[V(V)]]^2</f>
        <v>628.82051803171635</v>
      </c>
    </row>
    <row r="163" spans="1:6" x14ac:dyDescent="0.25">
      <c r="A163" s="7">
        <v>268</v>
      </c>
      <c r="B163" s="2">
        <v>-106</v>
      </c>
      <c r="C163" s="1">
        <f>(teraterm[[#This Row],[Value(V)]]+$K$2)*$S$2</f>
        <v>25.16748046875</v>
      </c>
      <c r="D163" s="1">
        <f>(teraterm[[#This Row],[Column2]]-Q$4)*$S$3*1000</f>
        <v>-189.61588541666666</v>
      </c>
      <c r="E163" s="1">
        <f>IF(ABS(VALUE(teraterm[[#This Row],[Column1]]))&lt;4096,VALUE(teraterm[[#This Row],[Column1]]),0)</f>
        <v>268</v>
      </c>
      <c r="F163" s="1">
        <f>teraterm[[#This Row],[V(V)]]^2</f>
        <v>633.40207314491272</v>
      </c>
    </row>
    <row r="164" spans="1:6" x14ac:dyDescent="0.25">
      <c r="A164" s="7">
        <v>281</v>
      </c>
      <c r="B164" s="2">
        <v>-95</v>
      </c>
      <c r="C164" s="1">
        <f>(teraterm[[#This Row],[Value(V)]]+$K$2)*$S$2</f>
        <v>26.3529052734375</v>
      </c>
      <c r="D164" s="1">
        <f>(teraterm[[#This Row],[Column2]]-Q$4)*$S$3*1000</f>
        <v>-185.13997395833331</v>
      </c>
      <c r="E164" s="1">
        <f>IF(ABS(VALUE(teraterm[[#This Row],[Column1]]))&lt;4096,VALUE(teraterm[[#This Row],[Column1]]),0)</f>
        <v>281</v>
      </c>
      <c r="F164" s="1">
        <f>teraterm[[#This Row],[V(V)]]^2</f>
        <v>694.47561635077</v>
      </c>
    </row>
    <row r="165" spans="1:6" x14ac:dyDescent="0.25">
      <c r="A165" s="7">
        <v>337</v>
      </c>
      <c r="B165" s="2">
        <v>-83</v>
      </c>
      <c r="C165" s="1">
        <f>(teraterm[[#This Row],[Value(V)]]+$K$2)*$S$2</f>
        <v>31.4593505859375</v>
      </c>
      <c r="D165" s="1">
        <f>(teraterm[[#This Row],[Column2]]-Q$4)*$S$3*1000</f>
        <v>-180.25716145833331</v>
      </c>
      <c r="E165" s="1">
        <f>IF(ABS(VALUE(teraterm[[#This Row],[Column1]]))&lt;4096,VALUE(teraterm[[#This Row],[Column1]]),0)</f>
        <v>337</v>
      </c>
      <c r="F165" s="1">
        <f>teraterm[[#This Row],[V(V)]]^2</f>
        <v>989.69073928892612</v>
      </c>
    </row>
    <row r="166" spans="1:6" x14ac:dyDescent="0.25">
      <c r="A166" s="7">
        <v>487</v>
      </c>
      <c r="B166" s="2">
        <v>-30</v>
      </c>
      <c r="C166" s="1">
        <f>(teraterm[[#This Row],[Value(V)]]+$K$2)*$S$2</f>
        <v>45.1373291015625</v>
      </c>
      <c r="D166" s="1">
        <f>(teraterm[[#This Row],[Column2]]-Q$4)*$S$3*1000</f>
        <v>-158.69140624999997</v>
      </c>
      <c r="E166" s="1">
        <f>IF(ABS(VALUE(teraterm[[#This Row],[Column1]]))&lt;4096,VALUE(teraterm[[#This Row],[Column1]]),0)</f>
        <v>487</v>
      </c>
      <c r="F166" s="1">
        <f>teraterm[[#This Row],[V(V)]]^2</f>
        <v>2037.378478422761</v>
      </c>
    </row>
    <row r="167" spans="1:6" x14ac:dyDescent="0.25">
      <c r="A167" s="7">
        <v>687</v>
      </c>
      <c r="B167" s="2">
        <v>45</v>
      </c>
      <c r="C167" s="1">
        <f>(teraterm[[#This Row],[Value(V)]]+$K$2)*$S$2</f>
        <v>63.3746337890625</v>
      </c>
      <c r="D167" s="1">
        <f>(teraterm[[#This Row],[Column2]]-Q$4)*$S$3*1000</f>
        <v>-128.173828125</v>
      </c>
      <c r="E167" s="1">
        <f>IF(ABS(VALUE(teraterm[[#This Row],[Column1]]))&lt;4096,VALUE(teraterm[[#This Row],[Column1]]),0)</f>
        <v>687</v>
      </c>
      <c r="F167" s="1">
        <f>teraterm[[#This Row],[V(V)]]^2</f>
        <v>4016.3442078977823</v>
      </c>
    </row>
    <row r="168" spans="1:6" x14ac:dyDescent="0.25">
      <c r="A168" s="7">
        <v>893</v>
      </c>
      <c r="B168" s="2">
        <v>92</v>
      </c>
      <c r="C168" s="1">
        <f>(teraterm[[#This Row],[Value(V)]]+$K$2)*$S$2</f>
        <v>82.1590576171875</v>
      </c>
      <c r="D168" s="1">
        <f>(teraterm[[#This Row],[Column2]]-Q$4)*$S$3*1000</f>
        <v>-109.04947916666666</v>
      </c>
      <c r="E168" s="1">
        <f>IF(ABS(VALUE(teraterm[[#This Row],[Column1]]))&lt;4096,VALUE(teraterm[[#This Row],[Column1]]),0)</f>
        <v>893</v>
      </c>
      <c r="F168" s="1">
        <f>teraterm[[#This Row],[V(V)]]^2</f>
        <v>6750.1107485443354</v>
      </c>
    </row>
    <row r="169" spans="1:6" x14ac:dyDescent="0.25">
      <c r="A169" s="7">
        <v>1104</v>
      </c>
      <c r="B169" s="2">
        <v>140</v>
      </c>
      <c r="C169" s="1">
        <f>(teraterm[[#This Row],[Value(V)]]+$K$2)*$S$2</f>
        <v>101.3994140625</v>
      </c>
      <c r="D169" s="1">
        <f>(teraterm[[#This Row],[Column2]]-Q$4)*$S$3*1000</f>
        <v>-89.518229166666657</v>
      </c>
      <c r="E169" s="1">
        <f>IF(ABS(VALUE(teraterm[[#This Row],[Column1]]))&lt;4096,VALUE(teraterm[[#This Row],[Column1]]),0)</f>
        <v>1104</v>
      </c>
      <c r="F169" s="1">
        <f>teraterm[[#This Row],[V(V)]]^2</f>
        <v>10281.841172218323</v>
      </c>
    </row>
    <row r="170" spans="1:6" x14ac:dyDescent="0.25">
      <c r="A170" s="7">
        <v>1345</v>
      </c>
      <c r="B170" s="2">
        <v>198</v>
      </c>
      <c r="C170" s="1">
        <f>(teraterm[[#This Row],[Value(V)]]+$K$2)*$S$2</f>
        <v>123.3753662109375</v>
      </c>
      <c r="D170" s="1">
        <f>(teraterm[[#This Row],[Column2]]-Q$4)*$S$3*1000</f>
        <v>-65.91796875</v>
      </c>
      <c r="E170" s="1">
        <f>IF(ABS(VALUE(teraterm[[#This Row],[Column1]]))&lt;4096,VALUE(teraterm[[#This Row],[Column1]]),0)</f>
        <v>1345</v>
      </c>
      <c r="F170" s="1">
        <f>teraterm[[#This Row],[V(V)]]^2</f>
        <v>15221.480987682939</v>
      </c>
    </row>
    <row r="171" spans="1:6" x14ac:dyDescent="0.25">
      <c r="A171" s="7">
        <v>1591</v>
      </c>
      <c r="B171" s="2">
        <v>228</v>
      </c>
      <c r="C171" s="1">
        <f>(teraterm[[#This Row],[Value(V)]]+$K$2)*$S$2</f>
        <v>145.8072509765625</v>
      </c>
      <c r="D171" s="1">
        <f>(teraterm[[#This Row],[Column2]]-Q$4)*$S$3*1000</f>
        <v>-53.710937499999993</v>
      </c>
      <c r="E171" s="1">
        <f>IF(ABS(VALUE(teraterm[[#This Row],[Column1]]))&lt;4096,VALUE(teraterm[[#This Row],[Column1]]),0)</f>
        <v>1591</v>
      </c>
      <c r="F171" s="1">
        <f>teraterm[[#This Row],[V(V)]]^2</f>
        <v>21259.754437342286</v>
      </c>
    </row>
    <row r="172" spans="1:6" x14ac:dyDescent="0.25">
      <c r="A172" s="7">
        <v>1852</v>
      </c>
      <c r="B172" s="2">
        <v>299</v>
      </c>
      <c r="C172" s="1">
        <f>(teraterm[[#This Row],[Value(V)]]+$K$2)*$S$2</f>
        <v>169.60693359375</v>
      </c>
      <c r="D172" s="1">
        <f>(teraterm[[#This Row],[Column2]]-Q$4)*$S$3*1000</f>
        <v>-24.820963541666664</v>
      </c>
      <c r="E172" s="1">
        <f>IF(ABS(VALUE(teraterm[[#This Row],[Column1]]))&lt;4096,VALUE(teraterm[[#This Row],[Column1]]),0)</f>
        <v>1852</v>
      </c>
      <c r="F172" s="1">
        <f>teraterm[[#This Row],[V(V)]]^2</f>
        <v>28766.511923074722</v>
      </c>
    </row>
    <row r="173" spans="1:6" x14ac:dyDescent="0.25">
      <c r="A173" s="7">
        <v>2126</v>
      </c>
      <c r="B173" s="2">
        <v>328</v>
      </c>
      <c r="C173" s="1">
        <f>(teraterm[[#This Row],[Value(V)]]+$K$2)*$S$2</f>
        <v>194.592041015625</v>
      </c>
      <c r="D173" s="1">
        <f>(teraterm[[#This Row],[Column2]]-Q$4)*$S$3*1000</f>
        <v>-13.020833333333332</v>
      </c>
      <c r="E173" s="1">
        <f>IF(ABS(VALUE(teraterm[[#This Row],[Column1]]))&lt;4096,VALUE(teraterm[[#This Row],[Column1]]),0)</f>
        <v>2126</v>
      </c>
      <c r="F173" s="1">
        <f>teraterm[[#This Row],[V(V)]]^2</f>
        <v>37866.062426626682</v>
      </c>
    </row>
    <row r="174" spans="1:6" x14ac:dyDescent="0.25">
      <c r="A174" s="7">
        <v>2407</v>
      </c>
      <c r="B174" s="2">
        <v>387</v>
      </c>
      <c r="C174" s="1">
        <f>(teraterm[[#This Row],[Value(V)]]+$K$2)*$S$2</f>
        <v>220.2154541015625</v>
      </c>
      <c r="D174" s="1">
        <f>(teraterm[[#This Row],[Column2]]-Q$4)*$S$3*1000</f>
        <v>10.986328124999998</v>
      </c>
      <c r="E174" s="1">
        <f>IF(ABS(VALUE(teraterm[[#This Row],[Column1]]))&lt;4096,VALUE(teraterm[[#This Row],[Column1]]),0)</f>
        <v>2407</v>
      </c>
      <c r="F174" s="1">
        <f>teraterm[[#This Row],[V(V)]]^2</f>
        <v>48494.84622515738</v>
      </c>
    </row>
    <row r="175" spans="1:6" x14ac:dyDescent="0.25">
      <c r="A175" s="7">
        <v>2653</v>
      </c>
      <c r="B175" s="2">
        <v>425</v>
      </c>
      <c r="C175" s="1">
        <f>(teraterm[[#This Row],[Value(V)]]+$K$2)*$S$2</f>
        <v>242.6473388671875</v>
      </c>
      <c r="D175" s="1">
        <f>(teraterm[[#This Row],[Column2]]-Q$4)*$S$3*1000</f>
        <v>26.448567708333332</v>
      </c>
      <c r="E175" s="1">
        <f>IF(ABS(VALUE(teraterm[[#This Row],[Column1]]))&lt;4096,VALUE(teraterm[[#This Row],[Column1]]),0)</f>
        <v>2653</v>
      </c>
      <c r="F175" s="1">
        <f>teraterm[[#This Row],[V(V)]]^2</f>
        <v>58877.731059327722</v>
      </c>
    </row>
    <row r="176" spans="1:6" x14ac:dyDescent="0.25">
      <c r="A176" s="7">
        <v>2892</v>
      </c>
      <c r="B176" s="2">
        <v>489</v>
      </c>
      <c r="C176" s="1">
        <f>(teraterm[[#This Row],[Value(V)]]+$K$2)*$S$2</f>
        <v>264.44091796875</v>
      </c>
      <c r="D176" s="1">
        <f>(teraterm[[#This Row],[Column2]]-Q$4)*$S$3*1000</f>
        <v>52.490234374999993</v>
      </c>
      <c r="E176" s="1">
        <f>IF(ABS(VALUE(teraterm[[#This Row],[Column1]]))&lt;4096,VALUE(teraterm[[#This Row],[Column1]]),0)</f>
        <v>2892</v>
      </c>
      <c r="F176" s="1">
        <f>teraterm[[#This Row],[V(V)]]^2</f>
        <v>69928.999096155167</v>
      </c>
    </row>
    <row r="177" spans="1:6" x14ac:dyDescent="0.25">
      <c r="A177" s="7">
        <v>3121</v>
      </c>
      <c r="B177" s="2">
        <v>505</v>
      </c>
      <c r="C177" s="1">
        <f>(teraterm[[#This Row],[Value(V)]]+$K$2)*$S$2</f>
        <v>285.3226318359375</v>
      </c>
      <c r="D177" s="1">
        <f>(teraterm[[#This Row],[Column2]]-Q$4)*$S$3*1000</f>
        <v>59.000651041666664</v>
      </c>
      <c r="E177" s="1">
        <f>IF(ABS(VALUE(teraterm[[#This Row],[Column1]]))&lt;4096,VALUE(teraterm[[#This Row],[Column1]]),0)</f>
        <v>3121</v>
      </c>
      <c r="F177" s="1">
        <f>teraterm[[#This Row],[V(V)]]^2</f>
        <v>81409.004237785935</v>
      </c>
    </row>
    <row r="178" spans="1:6" x14ac:dyDescent="0.25">
      <c r="A178" s="7">
        <v>3334</v>
      </c>
      <c r="B178" s="2">
        <v>560</v>
      </c>
      <c r="C178" s="1">
        <f>(teraterm[[#This Row],[Value(V)]]+$K$2)*$S$2</f>
        <v>304.745361328125</v>
      </c>
      <c r="D178" s="1">
        <f>(teraterm[[#This Row],[Column2]]-Q$4)*$S$3*1000</f>
        <v>81.380208333333329</v>
      </c>
      <c r="E178" s="1">
        <f>IF(ABS(VALUE(teraterm[[#This Row],[Column1]]))&lt;4096,VALUE(teraterm[[#This Row],[Column1]]),0)</f>
        <v>3334</v>
      </c>
      <c r="F178" s="1">
        <f>teraterm[[#This Row],[V(V)]]^2</f>
        <v>92869.735251009464</v>
      </c>
    </row>
    <row r="179" spans="1:6" x14ac:dyDescent="0.25">
      <c r="A179" s="7">
        <v>3536</v>
      </c>
      <c r="B179" s="2">
        <v>599</v>
      </c>
      <c r="C179" s="1">
        <f>(teraterm[[#This Row],[Value(V)]]+$K$2)*$S$2</f>
        <v>323.1650390625</v>
      </c>
      <c r="D179" s="1">
        <f>(teraterm[[#This Row],[Column2]]-Q$4)*$S$3*1000</f>
        <v>97.249348958333329</v>
      </c>
      <c r="E179" s="1">
        <f>IF(ABS(VALUE(teraterm[[#This Row],[Column1]]))&lt;4096,VALUE(teraterm[[#This Row],[Column1]]),0)</f>
        <v>3536</v>
      </c>
      <c r="F179" s="1">
        <f>teraterm[[#This Row],[V(V)]]^2</f>
        <v>104435.64247226715</v>
      </c>
    </row>
    <row r="180" spans="1:6" x14ac:dyDescent="0.25">
      <c r="A180" s="7">
        <v>3706</v>
      </c>
      <c r="B180" s="2">
        <v>608</v>
      </c>
      <c r="C180" s="1">
        <f>(teraterm[[#This Row],[Value(V)]]+$K$2)*$S$2</f>
        <v>338.666748046875</v>
      </c>
      <c r="D180" s="1">
        <f>(teraterm[[#This Row],[Column2]]-Q$4)*$S$3*1000</f>
        <v>100.91145833333333</v>
      </c>
      <c r="E180" s="1">
        <f>IF(ABS(VALUE(teraterm[[#This Row],[Column1]]))&lt;4096,VALUE(teraterm[[#This Row],[Column1]]),0)</f>
        <v>3706</v>
      </c>
      <c r="F180" s="1">
        <f>teraterm[[#This Row],[V(V)]]^2</f>
        <v>114695.16623264551</v>
      </c>
    </row>
    <row r="181" spans="1:6" x14ac:dyDescent="0.25">
      <c r="A181" s="7">
        <v>3836</v>
      </c>
      <c r="B181" s="2">
        <v>632</v>
      </c>
      <c r="C181" s="1">
        <f>(teraterm[[#This Row],[Value(V)]]+$K$2)*$S$2</f>
        <v>350.52099609375</v>
      </c>
      <c r="D181" s="1">
        <f>(teraterm[[#This Row],[Column2]]-Q$4)*$S$3*1000</f>
        <v>110.67708333333333</v>
      </c>
      <c r="E181" s="1">
        <f>IF(ABS(VALUE(teraterm[[#This Row],[Column1]]))&lt;4096,VALUE(teraterm[[#This Row],[Column1]]),0)</f>
        <v>3836</v>
      </c>
      <c r="F181" s="1">
        <f>teraterm[[#This Row],[V(V)]]^2</f>
        <v>122864.9687025547</v>
      </c>
    </row>
    <row r="182" spans="1:6" x14ac:dyDescent="0.25">
      <c r="A182" s="7">
        <v>3954</v>
      </c>
      <c r="B182" s="2">
        <v>658</v>
      </c>
      <c r="C182" s="1">
        <f>(teraterm[[#This Row],[Value(V)]]+$K$2)*$S$2</f>
        <v>361.281005859375</v>
      </c>
      <c r="D182" s="1">
        <f>(teraterm[[#This Row],[Column2]]-Q$4)*$S$3*1000</f>
        <v>121.25651041666666</v>
      </c>
      <c r="E182" s="1">
        <f>IF(ABS(VALUE(teraterm[[#This Row],[Column1]]))&lt;4096,VALUE(teraterm[[#This Row],[Column1]]),0)</f>
        <v>3954</v>
      </c>
      <c r="F182" s="1">
        <f>teraterm[[#This Row],[V(V)]]^2</f>
        <v>130523.96519476175</v>
      </c>
    </row>
    <row r="183" spans="1:6" x14ac:dyDescent="0.25">
      <c r="A183" s="7">
        <v>4004</v>
      </c>
      <c r="B183" s="2">
        <v>651</v>
      </c>
      <c r="C183" s="1">
        <f>(teraterm[[#This Row],[Value(V)]]+$K$2)*$S$2</f>
        <v>365.84033203125</v>
      </c>
      <c r="D183" s="1">
        <f>(teraterm[[#This Row],[Column2]]-Q$4)*$S$3*1000</f>
        <v>118.40820312499999</v>
      </c>
      <c r="E183" s="1">
        <f>IF(ABS(VALUE(teraterm[[#This Row],[Column1]]))&lt;4096,VALUE(teraterm[[#This Row],[Column1]]),0)</f>
        <v>4004</v>
      </c>
      <c r="F183" s="1">
        <f>teraterm[[#This Row],[V(V)]]^2</f>
        <v>133839.14854073524</v>
      </c>
    </row>
    <row r="184" spans="1:6" x14ac:dyDescent="0.25">
      <c r="A184" s="7">
        <v>4021</v>
      </c>
      <c r="B184" s="2">
        <v>649</v>
      </c>
      <c r="C184" s="1">
        <f>(teraterm[[#This Row],[Value(V)]]+$K$2)*$S$2</f>
        <v>367.3905029296875</v>
      </c>
      <c r="D184" s="1">
        <f>(teraterm[[#This Row],[Column2]]-Q$4)*$S$3*1000</f>
        <v>117.59440104166666</v>
      </c>
      <c r="E184" s="1">
        <f>IF(ABS(VALUE(teraterm[[#This Row],[Column1]]))&lt;4096,VALUE(teraterm[[#This Row],[Column1]]),0)</f>
        <v>4021</v>
      </c>
      <c r="F184" s="1">
        <f>teraterm[[#This Row],[V(V)]]^2</f>
        <v>134975.78164292872</v>
      </c>
    </row>
    <row r="185" spans="1:6" x14ac:dyDescent="0.25">
      <c r="A185" s="7">
        <v>4029</v>
      </c>
      <c r="B185" s="2">
        <v>657</v>
      </c>
      <c r="C185" s="1">
        <f>(teraterm[[#This Row],[Value(V)]]+$K$2)*$S$2</f>
        <v>368.1199951171875</v>
      </c>
      <c r="D185" s="1">
        <f>(teraterm[[#This Row],[Column2]]-Q$4)*$S$3*1000</f>
        <v>120.84960937499999</v>
      </c>
      <c r="E185" s="1">
        <f>IF(ABS(VALUE(teraterm[[#This Row],[Column1]]))&lt;4096,VALUE(teraterm[[#This Row],[Column1]]),0)</f>
        <v>4029</v>
      </c>
      <c r="F185" s="1">
        <f>teraterm[[#This Row],[V(V)]]^2</f>
        <v>135512.33080507815</v>
      </c>
    </row>
    <row r="186" spans="1:6" x14ac:dyDescent="0.25">
      <c r="A186" s="7">
        <v>4026</v>
      </c>
      <c r="B186" s="2">
        <v>654</v>
      </c>
      <c r="C186" s="1">
        <f>(teraterm[[#This Row],[Value(V)]]+$K$2)*$S$2</f>
        <v>367.846435546875</v>
      </c>
      <c r="D186" s="1">
        <f>(teraterm[[#This Row],[Column2]]-Q$4)*$S$3*1000</f>
        <v>119.62890624999999</v>
      </c>
      <c r="E186" s="1">
        <f>IF(ABS(VALUE(teraterm[[#This Row],[Column1]]))&lt;4096,VALUE(teraterm[[#This Row],[Column1]]),0)</f>
        <v>4026</v>
      </c>
      <c r="F186" s="1">
        <f>teraterm[[#This Row],[V(V)]]^2</f>
        <v>135311.00014454126</v>
      </c>
    </row>
    <row r="187" spans="1:6" x14ac:dyDescent="0.25">
      <c r="A187" s="7">
        <v>4001</v>
      </c>
      <c r="B187" s="2">
        <v>649</v>
      </c>
      <c r="C187" s="1">
        <f>(teraterm[[#This Row],[Value(V)]]+$K$2)*$S$2</f>
        <v>365.5667724609375</v>
      </c>
      <c r="D187" s="1">
        <f>(teraterm[[#This Row],[Column2]]-Q$4)*$S$3*1000</f>
        <v>117.59440104166666</v>
      </c>
      <c r="E187" s="1">
        <f>IF(ABS(VALUE(teraterm[[#This Row],[Column1]]))&lt;4096,VALUE(teraterm[[#This Row],[Column1]]),0)</f>
        <v>4001</v>
      </c>
      <c r="F187" s="1">
        <f>teraterm[[#This Row],[V(V)]]^2</f>
        <v>133639.06512750685</v>
      </c>
    </row>
    <row r="188" spans="1:6" x14ac:dyDescent="0.25">
      <c r="A188" s="7">
        <v>3896</v>
      </c>
      <c r="B188" s="2">
        <v>629</v>
      </c>
      <c r="C188" s="1">
        <f>(teraterm[[#This Row],[Value(V)]]+$K$2)*$S$2</f>
        <v>355.9921875</v>
      </c>
      <c r="D188" s="1">
        <f>(teraterm[[#This Row],[Column2]]-Q$4)*$S$3*1000</f>
        <v>109.45638020833333</v>
      </c>
      <c r="E188" s="1">
        <f>IF(ABS(VALUE(teraterm[[#This Row],[Column1]]))&lt;4096,VALUE(teraterm[[#This Row],[Column1]]),0)</f>
        <v>3896</v>
      </c>
      <c r="F188" s="1">
        <f>teraterm[[#This Row],[V(V)]]^2</f>
        <v>126730.43756103516</v>
      </c>
    </row>
    <row r="189" spans="1:6" x14ac:dyDescent="0.25">
      <c r="A189" s="7">
        <v>3710</v>
      </c>
      <c r="B189" s="2">
        <v>600</v>
      </c>
      <c r="C189" s="1">
        <f>(teraterm[[#This Row],[Value(V)]]+$K$2)*$S$2</f>
        <v>339.031494140625</v>
      </c>
      <c r="D189" s="1">
        <f>(teraterm[[#This Row],[Column2]]-Q$4)*$S$3*1000</f>
        <v>97.656249999999986</v>
      </c>
      <c r="E189" s="1">
        <f>IF(ABS(VALUE(teraterm[[#This Row],[Column1]]))&lt;4096,VALUE(teraterm[[#This Row],[Column1]]),0)</f>
        <v>3710</v>
      </c>
      <c r="F189" s="1">
        <f>teraterm[[#This Row],[V(V)]]^2</f>
        <v>114942.35401922464</v>
      </c>
    </row>
    <row r="190" spans="1:6" x14ac:dyDescent="0.25">
      <c r="A190" s="7">
        <v>3523</v>
      </c>
      <c r="B190" s="2">
        <v>557</v>
      </c>
      <c r="C190" s="1">
        <f>(teraterm[[#This Row],[Value(V)]]+$K$2)*$S$2</f>
        <v>321.9796142578125</v>
      </c>
      <c r="D190" s="1">
        <f>(teraterm[[#This Row],[Column2]]-Q$4)*$S$3*1000</f>
        <v>80.159505208333329</v>
      </c>
      <c r="E190" s="1">
        <f>IF(ABS(VALUE(teraterm[[#This Row],[Column1]]))&lt;4096,VALUE(teraterm[[#This Row],[Column1]]),0)</f>
        <v>3523</v>
      </c>
      <c r="F190" s="1">
        <f>teraterm[[#This Row],[V(V)]]^2</f>
        <v>103670.87199760973</v>
      </c>
    </row>
    <row r="191" spans="1:6" x14ac:dyDescent="0.25">
      <c r="A191" s="7">
        <v>3323</v>
      </c>
      <c r="B191" s="2">
        <v>503</v>
      </c>
      <c r="C191" s="1">
        <f>(teraterm[[#This Row],[Value(V)]]+$K$2)*$S$2</f>
        <v>303.7423095703125</v>
      </c>
      <c r="D191" s="1">
        <f>(teraterm[[#This Row],[Column2]]-Q$4)*$S$3*1000</f>
        <v>58.186848958333329</v>
      </c>
      <c r="E191" s="1">
        <f>IF(ABS(VALUE(teraterm[[#This Row],[Column1]]))&lt;4096,VALUE(teraterm[[#This Row],[Column1]]),0)</f>
        <v>3323</v>
      </c>
      <c r="F191" s="1">
        <f>teraterm[[#This Row],[V(V)]]^2</f>
        <v>92259.390623107553</v>
      </c>
    </row>
    <row r="192" spans="1:6" x14ac:dyDescent="0.25">
      <c r="A192" s="7">
        <v>3097</v>
      </c>
      <c r="B192" s="2">
        <v>469</v>
      </c>
      <c r="C192" s="1">
        <f>(teraterm[[#This Row],[Value(V)]]+$K$2)*$S$2</f>
        <v>283.1341552734375</v>
      </c>
      <c r="D192" s="1">
        <f>(teraterm[[#This Row],[Column2]]-Q$4)*$S$3*1000</f>
        <v>44.352213541666664</v>
      </c>
      <c r="E192" s="1">
        <f>IF(ABS(VALUE(teraterm[[#This Row],[Column1]]))&lt;4096,VALUE(teraterm[[#This Row],[Column1]]),0)</f>
        <v>3097</v>
      </c>
      <c r="F192" s="1">
        <f>teraterm[[#This Row],[V(V)]]^2</f>
        <v>80164.949882403016</v>
      </c>
    </row>
    <row r="193" spans="1:6" x14ac:dyDescent="0.25">
      <c r="A193" s="7">
        <v>2861</v>
      </c>
      <c r="B193" s="2">
        <v>441</v>
      </c>
      <c r="C193" s="1">
        <f>(teraterm[[#This Row],[Value(V)]]+$K$2)*$S$2</f>
        <v>261.6141357421875</v>
      </c>
      <c r="D193" s="1">
        <f>(teraterm[[#This Row],[Column2]]-Q$4)*$S$3*1000</f>
        <v>32.958984375</v>
      </c>
      <c r="E193" s="1">
        <f>IF(ABS(VALUE(teraterm[[#This Row],[Column1]]))&lt;4096,VALUE(teraterm[[#This Row],[Column1]]),0)</f>
        <v>2861</v>
      </c>
      <c r="F193" s="1">
        <f>teraterm[[#This Row],[V(V)]]^2</f>
        <v>68441.956020131707</v>
      </c>
    </row>
    <row r="194" spans="1:6" x14ac:dyDescent="0.25">
      <c r="A194" s="7">
        <v>2607</v>
      </c>
      <c r="B194" s="2">
        <v>393</v>
      </c>
      <c r="C194" s="1">
        <f>(teraterm[[#This Row],[Value(V)]]+$K$2)*$S$2</f>
        <v>238.4527587890625</v>
      </c>
      <c r="D194" s="1">
        <f>(teraterm[[#This Row],[Column2]]-Q$4)*$S$3*1000</f>
        <v>13.427734374999998</v>
      </c>
      <c r="E194" s="1">
        <f>IF(ABS(VALUE(teraterm[[#This Row],[Column1]]))&lt;4096,VALUE(teraterm[[#This Row],[Column1]]),0)</f>
        <v>2607</v>
      </c>
      <c r="F194" s="1">
        <f>teraterm[[#This Row],[V(V)]]^2</f>
        <v>56859.718174114823</v>
      </c>
    </row>
    <row r="195" spans="1:6" x14ac:dyDescent="0.25">
      <c r="A195" s="7">
        <v>2338</v>
      </c>
      <c r="B195" s="2">
        <v>353</v>
      </c>
      <c r="C195" s="1">
        <f>(teraterm[[#This Row],[Value(V)]]+$K$2)*$S$2</f>
        <v>213.923583984375</v>
      </c>
      <c r="D195" s="1">
        <f>(teraterm[[#This Row],[Column2]]-Q$4)*$S$3*1000</f>
        <v>-2.8483072916666665</v>
      </c>
      <c r="E195" s="1">
        <f>IF(ABS(VALUE(teraterm[[#This Row],[Column1]]))&lt;4096,VALUE(teraterm[[#This Row],[Column1]]),0)</f>
        <v>2338</v>
      </c>
      <c r="F195" s="1">
        <f>teraterm[[#This Row],[V(V)]]^2</f>
        <v>45763.299784719944</v>
      </c>
    </row>
    <row r="196" spans="1:6" x14ac:dyDescent="0.25">
      <c r="A196" s="7">
        <v>2058</v>
      </c>
      <c r="B196" s="2">
        <v>299</v>
      </c>
      <c r="C196" s="1">
        <f>(teraterm[[#This Row],[Value(V)]]+$K$2)*$S$2</f>
        <v>188.391357421875</v>
      </c>
      <c r="D196" s="1">
        <f>(teraterm[[#This Row],[Column2]]-Q$4)*$S$3*1000</f>
        <v>-24.820963541666664</v>
      </c>
      <c r="E196" s="1">
        <f>IF(ABS(VALUE(teraterm[[#This Row],[Column1]]))&lt;4096,VALUE(teraterm[[#This Row],[Column1]]),0)</f>
        <v>2058</v>
      </c>
      <c r="F196" s="1">
        <f>teraterm[[#This Row],[V(V)]]^2</f>
        <v>35491.303551256657</v>
      </c>
    </row>
    <row r="197" spans="1:6" x14ac:dyDescent="0.25">
      <c r="A197" s="7">
        <v>1793</v>
      </c>
      <c r="B197" s="2">
        <v>265</v>
      </c>
      <c r="C197" s="1">
        <f>(teraterm[[#This Row],[Value(V)]]+$K$2)*$S$2</f>
        <v>164.2269287109375</v>
      </c>
      <c r="D197" s="1">
        <f>(teraterm[[#This Row],[Column2]]-Q$4)*$S$3*1000</f>
        <v>-38.655598958333329</v>
      </c>
      <c r="E197" s="1">
        <f>IF(ABS(VALUE(teraterm[[#This Row],[Column1]]))&lt;4096,VALUE(teraterm[[#This Row],[Column1]]),0)</f>
        <v>1793</v>
      </c>
      <c r="F197" s="1">
        <f>teraterm[[#This Row],[V(V)]]^2</f>
        <v>26970.484113827348</v>
      </c>
    </row>
    <row r="198" spans="1:6" x14ac:dyDescent="0.25">
      <c r="A198" s="7">
        <v>1539</v>
      </c>
      <c r="B198" s="2">
        <v>219</v>
      </c>
      <c r="C198" s="1">
        <f>(teraterm[[#This Row],[Value(V)]]+$K$2)*$S$2</f>
        <v>141.0655517578125</v>
      </c>
      <c r="D198" s="1">
        <f>(teraterm[[#This Row],[Column2]]-Q$4)*$S$3*1000</f>
        <v>-57.373046874999993</v>
      </c>
      <c r="E198" s="1">
        <f>IF(ABS(VALUE(teraterm[[#This Row],[Column1]]))&lt;4096,VALUE(teraterm[[#This Row],[Column1]]),0)</f>
        <v>1539</v>
      </c>
      <c r="F198" s="1">
        <f>teraterm[[#This Row],[V(V)]]^2</f>
        <v>19899.489892736077</v>
      </c>
    </row>
    <row r="199" spans="1:6" x14ac:dyDescent="0.25">
      <c r="A199" s="7">
        <v>1297</v>
      </c>
      <c r="B199" s="2">
        <v>166</v>
      </c>
      <c r="C199" s="1">
        <f>(teraterm[[#This Row],[Value(V)]]+$K$2)*$S$2</f>
        <v>118.9984130859375</v>
      </c>
      <c r="D199" s="1">
        <f>(teraterm[[#This Row],[Column2]]-Q$4)*$S$3*1000</f>
        <v>-78.938802083333329</v>
      </c>
      <c r="E199" s="1">
        <f>IF(ABS(VALUE(teraterm[[#This Row],[Column1]]))&lt;4096,VALUE(teraterm[[#This Row],[Column1]]),0)</f>
        <v>1297</v>
      </c>
      <c r="F199" s="1">
        <f>teraterm[[#This Row],[V(V)]]^2</f>
        <v>14160.622316971421</v>
      </c>
    </row>
    <row r="200" spans="1:6" x14ac:dyDescent="0.25">
      <c r="A200" s="7">
        <v>1071</v>
      </c>
      <c r="B200" s="2">
        <v>121</v>
      </c>
      <c r="C200" s="1">
        <f>(teraterm[[#This Row],[Value(V)]]+$K$2)*$S$2</f>
        <v>98.3902587890625</v>
      </c>
      <c r="D200" s="1">
        <f>(teraterm[[#This Row],[Column2]]-Q$4)*$S$3*1000</f>
        <v>-97.249348958333329</v>
      </c>
      <c r="E200" s="1">
        <f>IF(ABS(VALUE(teraterm[[#This Row],[Column1]]))&lt;4096,VALUE(teraterm[[#This Row],[Column1]]),0)</f>
        <v>1071</v>
      </c>
      <c r="F200" s="1">
        <f>teraterm[[#This Row],[V(V)]]^2</f>
        <v>9680.6430245786905</v>
      </c>
    </row>
    <row r="201" spans="1:6" x14ac:dyDescent="0.25">
      <c r="A201" s="7">
        <v>855</v>
      </c>
      <c r="B201" s="2">
        <v>73</v>
      </c>
      <c r="C201" s="1">
        <f>(teraterm[[#This Row],[Value(V)]]+$K$2)*$S$2</f>
        <v>78.6939697265625</v>
      </c>
      <c r="D201" s="1">
        <f>(teraterm[[#This Row],[Column2]]-Q$4)*$S$3*1000</f>
        <v>-116.78059895833333</v>
      </c>
      <c r="E201" s="1">
        <f>IF(ABS(VALUE(teraterm[[#This Row],[Column1]]))&lt;4096,VALUE(teraterm[[#This Row],[Column1]]),0)</f>
        <v>855</v>
      </c>
      <c r="F201" s="1">
        <f>teraterm[[#This Row],[V(V)]]^2</f>
        <v>6192.7408713251352</v>
      </c>
    </row>
    <row r="202" spans="1:6" x14ac:dyDescent="0.25">
      <c r="A202" s="7">
        <v>658</v>
      </c>
      <c r="B202" s="2">
        <v>3</v>
      </c>
      <c r="C202" s="1">
        <f>(teraterm[[#This Row],[Value(V)]]+$K$2)*$S$2</f>
        <v>60.730224609375</v>
      </c>
      <c r="D202" s="1">
        <f>(teraterm[[#This Row],[Column2]]-Q$4)*$S$3*1000</f>
        <v>-145.263671875</v>
      </c>
      <c r="E202" s="1">
        <f>IF(ABS(VALUE(teraterm[[#This Row],[Column1]]))&lt;4096,VALUE(teraterm[[#This Row],[Column1]]),0)</f>
        <v>658</v>
      </c>
      <c r="F202" s="1">
        <f>teraterm[[#This Row],[V(V)]]^2</f>
        <v>3688.1601811051369</v>
      </c>
    </row>
    <row r="203" spans="1:6" x14ac:dyDescent="0.25">
      <c r="A203" s="7">
        <v>508</v>
      </c>
      <c r="B203" s="2">
        <v>-42</v>
      </c>
      <c r="C203" s="1">
        <f>(teraterm[[#This Row],[Value(V)]]+$K$2)*$S$2</f>
        <v>47.05224609375</v>
      </c>
      <c r="D203" s="1">
        <f>(teraterm[[#This Row],[Column2]]-Q$4)*$S$3*1000</f>
        <v>-163.57421874999997</v>
      </c>
      <c r="E203" s="1">
        <f>IF(ABS(VALUE(teraterm[[#This Row],[Column1]]))&lt;4096,VALUE(teraterm[[#This Row],[Column1]]),0)</f>
        <v>508</v>
      </c>
      <c r="F203" s="1">
        <f>teraterm[[#This Row],[V(V)]]^2</f>
        <v>2213.9138624668121</v>
      </c>
    </row>
    <row r="204" spans="1:6" x14ac:dyDescent="0.25">
      <c r="A204" s="7">
        <v>373</v>
      </c>
      <c r="B204" s="2">
        <v>-85</v>
      </c>
      <c r="C204" s="1">
        <f>(teraterm[[#This Row],[Value(V)]]+$K$2)*$S$2</f>
        <v>34.7420654296875</v>
      </c>
      <c r="D204" s="1">
        <f>(teraterm[[#This Row],[Column2]]-Q$4)*$S$3*1000</f>
        <v>-181.07096354166666</v>
      </c>
      <c r="E204" s="1">
        <f>IF(ABS(VALUE(teraterm[[#This Row],[Column1]]))&lt;4096,VALUE(teraterm[[#This Row],[Column1]]),0)</f>
        <v>373</v>
      </c>
      <c r="F204" s="1">
        <f>teraterm[[#This Row],[V(V)]]^2</f>
        <v>1207.0111103206873</v>
      </c>
    </row>
    <row r="205" spans="1:6" x14ac:dyDescent="0.25">
      <c r="A205" s="7">
        <v>292</v>
      </c>
      <c r="B205" s="2">
        <v>-118</v>
      </c>
      <c r="C205" s="1">
        <f>(teraterm[[#This Row],[Value(V)]]+$K$2)*$S$2</f>
        <v>27.35595703125</v>
      </c>
      <c r="D205" s="1">
        <f>(teraterm[[#This Row],[Column2]]-Q$4)*$S$3*1000</f>
        <v>-194.49869791666666</v>
      </c>
      <c r="E205" s="1">
        <f>IF(ABS(VALUE(teraterm[[#This Row],[Column1]]))&lt;4096,VALUE(teraterm[[#This Row],[Column1]]),0)</f>
        <v>292</v>
      </c>
      <c r="F205" s="1">
        <f>teraterm[[#This Row],[V(V)]]^2</f>
        <v>748.34838509559631</v>
      </c>
    </row>
    <row r="206" spans="1:6" x14ac:dyDescent="0.25">
      <c r="A206" s="7">
        <v>271</v>
      </c>
      <c r="B206" s="2">
        <v>-101</v>
      </c>
      <c r="C206" s="1">
        <f>(teraterm[[#This Row],[Value(V)]]+$K$2)*$S$2</f>
        <v>25.4410400390625</v>
      </c>
      <c r="D206" s="1">
        <f>(teraterm[[#This Row],[Column2]]-Q$4)*$S$3*1000</f>
        <v>-187.58138020833331</v>
      </c>
      <c r="E206" s="1">
        <f>IF(ABS(VALUE(teraterm[[#This Row],[Column1]]))&lt;4096,VALUE(teraterm[[#This Row],[Column1]]),0)</f>
        <v>271</v>
      </c>
      <c r="F206" s="1">
        <f>teraterm[[#This Row],[V(V)]]^2</f>
        <v>647.24651826918125</v>
      </c>
    </row>
    <row r="207" spans="1:6" x14ac:dyDescent="0.25">
      <c r="A207" s="7">
        <v>265</v>
      </c>
      <c r="B207" s="2">
        <v>-115</v>
      </c>
      <c r="C207" s="1">
        <f>(teraterm[[#This Row],[Value(V)]]+$K$2)*$S$2</f>
        <v>24.8939208984375</v>
      </c>
      <c r="D207" s="1">
        <f>(teraterm[[#This Row],[Column2]]-Q$4)*$S$3*1000</f>
        <v>-193.27799479166666</v>
      </c>
      <c r="E207" s="1">
        <f>IF(ABS(VALUE(teraterm[[#This Row],[Column1]]))&lt;4096,VALUE(teraterm[[#This Row],[Column1]]),0)</f>
        <v>265</v>
      </c>
      <c r="F207" s="1">
        <f>teraterm[[#This Row],[V(V)]]^2</f>
        <v>619.70729769766331</v>
      </c>
    </row>
    <row r="208" spans="1:6" x14ac:dyDescent="0.25">
      <c r="A208" s="7">
        <v>270</v>
      </c>
      <c r="B208" s="2">
        <v>-116</v>
      </c>
      <c r="C208" s="1">
        <f>(teraterm[[#This Row],[Value(V)]]+$K$2)*$S$2</f>
        <v>25.349853515625</v>
      </c>
      <c r="D208" s="1">
        <f>(teraterm[[#This Row],[Column2]]-Q$4)*$S$3*1000</f>
        <v>-193.68489583333331</v>
      </c>
      <c r="E208" s="1">
        <f>IF(ABS(VALUE(teraterm[[#This Row],[Column1]]))&lt;4096,VALUE(teraterm[[#This Row],[Column1]]),0)</f>
        <v>270</v>
      </c>
      <c r="F208" s="1">
        <f>teraterm[[#This Row],[V(V)]]^2</f>
        <v>642.61507326364517</v>
      </c>
    </row>
    <row r="209" spans="1:6" x14ac:dyDescent="0.25">
      <c r="A209" s="7">
        <v>291</v>
      </c>
      <c r="B209" s="2">
        <v>-109</v>
      </c>
      <c r="C209" s="1">
        <f>(teraterm[[#This Row],[Value(V)]]+$K$2)*$S$2</f>
        <v>27.2647705078125</v>
      </c>
      <c r="D209" s="1">
        <f>(teraterm[[#This Row],[Column2]]-Q$4)*$S$3*1000</f>
        <v>-190.83658854166666</v>
      </c>
      <c r="E209" s="1">
        <f>IF(ABS(VALUE(teraterm[[#This Row],[Column1]]))&lt;4096,VALUE(teraterm[[#This Row],[Column1]]),0)</f>
        <v>291</v>
      </c>
      <c r="F209" s="1">
        <f>teraterm[[#This Row],[V(V)]]^2</f>
        <v>743.36771084368229</v>
      </c>
    </row>
    <row r="210" spans="1:6" x14ac:dyDescent="0.25">
      <c r="A210" s="7">
        <v>377</v>
      </c>
      <c r="B210" s="2">
        <v>-60</v>
      </c>
      <c r="C210" s="1">
        <f>(teraterm[[#This Row],[Value(V)]]+$K$2)*$S$2</f>
        <v>35.1068115234375</v>
      </c>
      <c r="D210" s="1">
        <f>(teraterm[[#This Row],[Column2]]-Q$4)*$S$3*1000</f>
        <v>-170.89843749999997</v>
      </c>
      <c r="E210" s="1">
        <f>IF(ABS(VALUE(teraterm[[#This Row],[Column1]]))&lt;4096,VALUE(teraterm[[#This Row],[Column1]]),0)</f>
        <v>377</v>
      </c>
      <c r="F210" s="1">
        <f>teraterm[[#This Row],[V(V)]]^2</f>
        <v>1232.488215342164</v>
      </c>
    </row>
    <row r="211" spans="1:6" x14ac:dyDescent="0.25">
      <c r="A211" s="7">
        <v>556</v>
      </c>
      <c r="B211" s="2">
        <v>7</v>
      </c>
      <c r="C211" s="1">
        <f>(teraterm[[#This Row],[Value(V)]]+$K$2)*$S$2</f>
        <v>51.42919921875</v>
      </c>
      <c r="D211" s="1">
        <f>(teraterm[[#This Row],[Column2]]-Q$4)*$S$3*1000</f>
        <v>-143.63606770833331</v>
      </c>
      <c r="E211" s="1">
        <f>IF(ABS(VALUE(teraterm[[#This Row],[Column1]]))&lt;4096,VALUE(teraterm[[#This Row],[Column1]]),0)</f>
        <v>556</v>
      </c>
      <c r="F211" s="1">
        <f>teraterm[[#This Row],[V(V)]]^2</f>
        <v>2644.9625322818756</v>
      </c>
    </row>
    <row r="212" spans="1:6" x14ac:dyDescent="0.25">
      <c r="A212" s="7">
        <v>757</v>
      </c>
      <c r="B212" s="2">
        <v>57</v>
      </c>
      <c r="C212" s="1">
        <f>(teraterm[[#This Row],[Value(V)]]+$K$2)*$S$2</f>
        <v>69.7576904296875</v>
      </c>
      <c r="D212" s="1">
        <f>(teraterm[[#This Row],[Column2]]-Q$4)*$S$3*1000</f>
        <v>-123.29101562499999</v>
      </c>
      <c r="E212" s="1">
        <f>IF(ABS(VALUE(teraterm[[#This Row],[Column1]]))&lt;4096,VALUE(teraterm[[#This Row],[Column1]]),0)</f>
        <v>757</v>
      </c>
      <c r="F212" s="1">
        <f>teraterm[[#This Row],[V(V)]]^2</f>
        <v>4866.135374084115</v>
      </c>
    </row>
    <row r="213" spans="1:6" x14ac:dyDescent="0.25">
      <c r="A213" s="7">
        <v>963</v>
      </c>
      <c r="B213" s="2">
        <v>111</v>
      </c>
      <c r="C213" s="1">
        <f>(teraterm[[#This Row],[Value(V)]]+$K$2)*$S$2</f>
        <v>88.5421142578125</v>
      </c>
      <c r="D213" s="1">
        <f>(teraterm[[#This Row],[Column2]]-Q$4)*$S$3*1000</f>
        <v>-101.31835937499999</v>
      </c>
      <c r="E213" s="1">
        <f>IF(ABS(VALUE(teraterm[[#This Row],[Column1]]))&lt;4096,VALUE(teraterm[[#This Row],[Column1]]),0)</f>
        <v>963</v>
      </c>
      <c r="F213" s="1">
        <f>teraterm[[#This Row],[V(V)]]^2</f>
        <v>7839.7059972435236</v>
      </c>
    </row>
    <row r="214" spans="1:6" x14ac:dyDescent="0.25">
      <c r="A214" s="7">
        <v>1184</v>
      </c>
      <c r="B214" s="2">
        <v>173</v>
      </c>
      <c r="C214" s="1">
        <f>(teraterm[[#This Row],[Value(V)]]+$K$2)*$S$2</f>
        <v>108.6943359375</v>
      </c>
      <c r="D214" s="1">
        <f>(teraterm[[#This Row],[Column2]]-Q$4)*$S$3*1000</f>
        <v>-76.090494791666657</v>
      </c>
      <c r="E214" s="1">
        <f>IF(ABS(VALUE(teraterm[[#This Row],[Column1]]))&lt;4096,VALUE(teraterm[[#This Row],[Column1]]),0)</f>
        <v>1184</v>
      </c>
      <c r="F214" s="1">
        <f>teraterm[[#This Row],[V(V)]]^2</f>
        <v>11814.458664894104</v>
      </c>
    </row>
    <row r="215" spans="1:6" x14ac:dyDescent="0.25">
      <c r="A215" s="7">
        <v>1429</v>
      </c>
      <c r="B215" s="2">
        <v>220</v>
      </c>
      <c r="C215" s="1">
        <f>(teraterm[[#This Row],[Value(V)]]+$K$2)*$S$2</f>
        <v>131.0350341796875</v>
      </c>
      <c r="D215" s="1">
        <f>(teraterm[[#This Row],[Column2]]-Q$4)*$S$3*1000</f>
        <v>-56.966145833333329</v>
      </c>
      <c r="E215" s="1">
        <f>IF(ABS(VALUE(teraterm[[#This Row],[Column1]]))&lt;4096,VALUE(teraterm[[#This Row],[Column1]]),0)</f>
        <v>1429</v>
      </c>
      <c r="F215" s="1">
        <f>teraterm[[#This Row],[V(V)]]^2</f>
        <v>17170.180182471871</v>
      </c>
    </row>
    <row r="216" spans="1:6" x14ac:dyDescent="0.25">
      <c r="A216" s="7">
        <v>1679</v>
      </c>
      <c r="B216" s="2">
        <v>257</v>
      </c>
      <c r="C216" s="1">
        <f>(teraterm[[#This Row],[Value(V)]]+$K$2)*$S$2</f>
        <v>153.8316650390625</v>
      </c>
      <c r="D216" s="1">
        <f>(teraterm[[#This Row],[Column2]]-Q$4)*$S$3*1000</f>
        <v>-41.910807291666664</v>
      </c>
      <c r="E216" s="1">
        <f>IF(ABS(VALUE(teraterm[[#This Row],[Column1]]))&lt;4096,VALUE(teraterm[[#This Row],[Column1]]),0)</f>
        <v>1679</v>
      </c>
      <c r="F216" s="1">
        <f>teraterm[[#This Row],[V(V)]]^2</f>
        <v>23664.181168690324</v>
      </c>
    </row>
    <row r="217" spans="1:6" x14ac:dyDescent="0.25">
      <c r="A217" s="7">
        <v>1947</v>
      </c>
      <c r="B217" s="2">
        <v>305</v>
      </c>
      <c r="C217" s="1">
        <f>(teraterm[[#This Row],[Value(V)]]+$K$2)*$S$2</f>
        <v>178.2696533203125</v>
      </c>
      <c r="D217" s="1">
        <f>(teraterm[[#This Row],[Column2]]-Q$4)*$S$3*1000</f>
        <v>-22.379557291666664</v>
      </c>
      <c r="E217" s="1">
        <f>IF(ABS(VALUE(teraterm[[#This Row],[Column1]]))&lt;4096,VALUE(teraterm[[#This Row],[Column1]]),0)</f>
        <v>1947</v>
      </c>
      <c r="F217" s="1">
        <f>teraterm[[#This Row],[V(V)]]^2</f>
        <v>31780.069294944406</v>
      </c>
    </row>
    <row r="218" spans="1:6" x14ac:dyDescent="0.25">
      <c r="A218" s="7">
        <v>2221</v>
      </c>
      <c r="B218" s="2">
        <v>350</v>
      </c>
      <c r="C218" s="1">
        <f>(teraterm[[#This Row],[Value(V)]]+$K$2)*$S$2</f>
        <v>203.2547607421875</v>
      </c>
      <c r="D218" s="1">
        <f>(teraterm[[#This Row],[Column2]]-Q$4)*$S$3*1000</f>
        <v>-4.0690104166666661</v>
      </c>
      <c r="E218" s="1">
        <f>IF(ABS(VALUE(teraterm[[#This Row],[Column1]]))&lt;4096,VALUE(teraterm[[#This Row],[Column1]]),0)</f>
        <v>2221</v>
      </c>
      <c r="F218" s="1">
        <f>teraterm[[#This Row],[V(V)]]^2</f>
        <v>41312.497764363885</v>
      </c>
    </row>
    <row r="219" spans="1:6" x14ac:dyDescent="0.25">
      <c r="A219" s="7">
        <v>2491</v>
      </c>
      <c r="B219" s="2">
        <v>392</v>
      </c>
      <c r="C219" s="1">
        <f>(teraterm[[#This Row],[Value(V)]]+$K$2)*$S$2</f>
        <v>227.8751220703125</v>
      </c>
      <c r="D219" s="1">
        <f>(teraterm[[#This Row],[Column2]]-Q$4)*$S$3*1000</f>
        <v>13.020833333333332</v>
      </c>
      <c r="E219" s="1">
        <f>IF(ABS(VALUE(teraterm[[#This Row],[Column1]]))&lt;4096,VALUE(teraterm[[#This Row],[Column1]]),0)</f>
        <v>2491</v>
      </c>
      <c r="F219" s="1">
        <f>teraterm[[#This Row],[V(V)]]^2</f>
        <v>51927.071258559823</v>
      </c>
    </row>
    <row r="220" spans="1:6" x14ac:dyDescent="0.25">
      <c r="A220" s="7">
        <v>2738</v>
      </c>
      <c r="B220" s="2">
        <v>425</v>
      </c>
      <c r="C220" s="1">
        <f>(teraterm[[#This Row],[Value(V)]]+$K$2)*$S$2</f>
        <v>250.398193359375</v>
      </c>
      <c r="D220" s="1">
        <f>(teraterm[[#This Row],[Column2]]-Q$4)*$S$3*1000</f>
        <v>26.448567708333332</v>
      </c>
      <c r="E220" s="1">
        <f>IF(ABS(VALUE(teraterm[[#This Row],[Column1]]))&lt;4096,VALUE(teraterm[[#This Row],[Column1]]),0)</f>
        <v>2738</v>
      </c>
      <c r="F220" s="1">
        <f>teraterm[[#This Row],[V(V)]]^2</f>
        <v>62699.25523763895</v>
      </c>
    </row>
    <row r="221" spans="1:6" x14ac:dyDescent="0.25">
      <c r="A221" s="7">
        <v>2974</v>
      </c>
      <c r="B221" s="2">
        <v>484</v>
      </c>
      <c r="C221" s="1">
        <f>(teraterm[[#This Row],[Value(V)]]+$K$2)*$S$2</f>
        <v>271.918212890625</v>
      </c>
      <c r="D221" s="1">
        <f>(teraterm[[#This Row],[Column2]]-Q$4)*$S$3*1000</f>
        <v>50.455729166666664</v>
      </c>
      <c r="E221" s="1">
        <f>IF(ABS(VALUE(teraterm[[#This Row],[Column1]]))&lt;4096,VALUE(teraterm[[#This Row],[Column1]]),0)</f>
        <v>2974</v>
      </c>
      <c r="F221" s="1">
        <f>teraterm[[#This Row],[V(V)]]^2</f>
        <v>73939.51450163126</v>
      </c>
    </row>
    <row r="222" spans="1:6" x14ac:dyDescent="0.25">
      <c r="A222" s="7">
        <v>3196</v>
      </c>
      <c r="B222" s="2">
        <v>522</v>
      </c>
      <c r="C222" s="1">
        <f>(teraterm[[#This Row],[Value(V)]]+$K$2)*$S$2</f>
        <v>292.16162109375</v>
      </c>
      <c r="D222" s="1">
        <f>(teraterm[[#This Row],[Column2]]-Q$4)*$S$3*1000</f>
        <v>65.91796875</v>
      </c>
      <c r="E222" s="1">
        <f>IF(ABS(VALUE(teraterm[[#This Row],[Column1]]))&lt;4096,VALUE(teraterm[[#This Row],[Column1]]),0)</f>
        <v>3196</v>
      </c>
      <c r="F222" s="1">
        <f>teraterm[[#This Row],[V(V)]]^2</f>
        <v>85358.412840127945</v>
      </c>
    </row>
    <row r="223" spans="1:6" x14ac:dyDescent="0.25">
      <c r="A223" s="7">
        <v>3404</v>
      </c>
      <c r="B223" s="2">
        <v>580</v>
      </c>
      <c r="C223" s="1">
        <f>(teraterm[[#This Row],[Value(V)]]+$K$2)*$S$2</f>
        <v>311.12841796875</v>
      </c>
      <c r="D223" s="1">
        <f>(teraterm[[#This Row],[Column2]]-Q$4)*$S$3*1000</f>
        <v>89.518229166666657</v>
      </c>
      <c r="E223" s="1">
        <f>IF(ABS(VALUE(teraterm[[#This Row],[Column1]]))&lt;4096,VALUE(teraterm[[#This Row],[Column1]]),0)</f>
        <v>3404</v>
      </c>
      <c r="F223" s="1">
        <f>teraterm[[#This Row],[V(V)]]^2</f>
        <v>96800.892467737198</v>
      </c>
    </row>
    <row r="224" spans="1:6" x14ac:dyDescent="0.25">
      <c r="A224" s="7">
        <v>3603</v>
      </c>
      <c r="B224" s="2">
        <v>587</v>
      </c>
      <c r="C224" s="1">
        <f>(teraterm[[#This Row],[Value(V)]]+$K$2)*$S$2</f>
        <v>329.2745361328125</v>
      </c>
      <c r="D224" s="1">
        <f>(teraterm[[#This Row],[Column2]]-Q$4)*$S$3*1000</f>
        <v>92.366536458333329</v>
      </c>
      <c r="E224" s="1">
        <f>IF(ABS(VALUE(teraterm[[#This Row],[Column1]]))&lt;4096,VALUE(teraterm[[#This Row],[Column1]]),0)</f>
        <v>3603</v>
      </c>
      <c r="F224" s="1">
        <f>teraterm[[#This Row],[V(V)]]^2</f>
        <v>108421.72014547884</v>
      </c>
    </row>
    <row r="225" spans="1:6" x14ac:dyDescent="0.25">
      <c r="A225" s="7">
        <v>3752</v>
      </c>
      <c r="B225" s="2">
        <v>615</v>
      </c>
      <c r="C225" s="1">
        <f>(teraterm[[#This Row],[Value(V)]]+$K$2)*$S$2</f>
        <v>342.861328125</v>
      </c>
      <c r="D225" s="1">
        <f>(teraterm[[#This Row],[Column2]]-Q$4)*$S$3*1000</f>
        <v>103.75976562499999</v>
      </c>
      <c r="E225" s="1">
        <f>IF(ABS(VALUE(teraterm[[#This Row],[Column1]]))&lt;4096,VALUE(teraterm[[#This Row],[Column1]]),0)</f>
        <v>3752</v>
      </c>
      <c r="F225" s="1">
        <f>teraterm[[#This Row],[V(V)]]^2</f>
        <v>117553.89032363892</v>
      </c>
    </row>
    <row r="226" spans="1:6" x14ac:dyDescent="0.25">
      <c r="A226" s="7">
        <v>3878</v>
      </c>
      <c r="B226" s="2">
        <v>643</v>
      </c>
      <c r="C226" s="1">
        <f>(teraterm[[#This Row],[Value(V)]]+$K$2)*$S$2</f>
        <v>354.350830078125</v>
      </c>
      <c r="D226" s="1">
        <f>(teraterm[[#This Row],[Column2]]-Q$4)*$S$3*1000</f>
        <v>115.15299479166666</v>
      </c>
      <c r="E226" s="1">
        <f>IF(ABS(VALUE(teraterm[[#This Row],[Column1]]))&lt;4096,VALUE(teraterm[[#This Row],[Column1]]),0)</f>
        <v>3878</v>
      </c>
      <c r="F226" s="1">
        <f>teraterm[[#This Row],[V(V)]]^2</f>
        <v>125564.51077705622</v>
      </c>
    </row>
    <row r="227" spans="1:6" x14ac:dyDescent="0.25">
      <c r="A227" s="7">
        <v>3980</v>
      </c>
      <c r="B227" s="2">
        <v>673</v>
      </c>
      <c r="C227" s="1">
        <f>(teraterm[[#This Row],[Value(V)]]+$K$2)*$S$2</f>
        <v>363.65185546875</v>
      </c>
      <c r="D227" s="1">
        <f>(teraterm[[#This Row],[Column2]]-Q$4)*$S$3*1000</f>
        <v>127.36002604166666</v>
      </c>
      <c r="E227" s="1">
        <f>IF(ABS(VALUE(teraterm[[#This Row],[Column1]]))&lt;4096,VALUE(teraterm[[#This Row],[Column1]]),0)</f>
        <v>3980</v>
      </c>
      <c r="F227" s="1">
        <f>teraterm[[#This Row],[V(V)]]^2</f>
        <v>132242.67198586464</v>
      </c>
    </row>
    <row r="228" spans="1:6" x14ac:dyDescent="0.25">
      <c r="A228" s="7">
        <v>4011</v>
      </c>
      <c r="B228" s="2">
        <v>657</v>
      </c>
      <c r="C228" s="1">
        <f>(teraterm[[#This Row],[Value(V)]]+$K$2)*$S$2</f>
        <v>366.4786376953125</v>
      </c>
      <c r="D228" s="1">
        <f>(teraterm[[#This Row],[Column2]]-Q$4)*$S$3*1000</f>
        <v>120.84960937499999</v>
      </c>
      <c r="E228" s="1">
        <f>IF(ABS(VALUE(teraterm[[#This Row],[Column1]]))&lt;4096,VALUE(teraterm[[#This Row],[Column1]]),0)</f>
        <v>4011</v>
      </c>
      <c r="F228" s="1">
        <f>teraterm[[#This Row],[V(V)]]^2</f>
        <v>134306.59188701212</v>
      </c>
    </row>
    <row r="229" spans="1:6" x14ac:dyDescent="0.25">
      <c r="A229" s="7">
        <v>4024</v>
      </c>
      <c r="B229" s="2">
        <v>658</v>
      </c>
      <c r="C229" s="1">
        <f>(teraterm[[#This Row],[Value(V)]]+$K$2)*$S$2</f>
        <v>367.6640625</v>
      </c>
      <c r="D229" s="1">
        <f>(teraterm[[#This Row],[Column2]]-Q$4)*$S$3*1000</f>
        <v>121.25651041666666</v>
      </c>
      <c r="E229" s="1">
        <f>IF(ABS(VALUE(teraterm[[#This Row],[Column1]]))&lt;4096,VALUE(teraterm[[#This Row],[Column1]]),0)</f>
        <v>4024</v>
      </c>
      <c r="F229" s="1">
        <f>teraterm[[#This Row],[V(V)]]^2</f>
        <v>135176.86285400391</v>
      </c>
    </row>
    <row r="230" spans="1:6" x14ac:dyDescent="0.25">
      <c r="A230" s="7">
        <v>4028</v>
      </c>
      <c r="B230" s="2">
        <v>662</v>
      </c>
      <c r="C230" s="1">
        <f>(teraterm[[#This Row],[Value(V)]]+$K$2)*$S$2</f>
        <v>368.02880859375</v>
      </c>
      <c r="D230" s="1">
        <f>(teraterm[[#This Row],[Column2]]-Q$4)*$S$3*1000</f>
        <v>122.88411458333333</v>
      </c>
      <c r="E230" s="1">
        <f>IF(ABS(VALUE(teraterm[[#This Row],[Column1]]))&lt;4096,VALUE(teraterm[[#This Row],[Column1]]),0)</f>
        <v>4028</v>
      </c>
      <c r="F230" s="1">
        <f>teraterm[[#This Row],[V(V)]]^2</f>
        <v>135445.20395493507</v>
      </c>
    </row>
    <row r="231" spans="1:6" x14ac:dyDescent="0.25">
      <c r="A231" s="7">
        <v>4021</v>
      </c>
      <c r="B231" s="2">
        <v>648</v>
      </c>
      <c r="C231" s="1">
        <f>(teraterm[[#This Row],[Value(V)]]+$K$2)*$S$2</f>
        <v>367.3905029296875</v>
      </c>
      <c r="D231" s="1">
        <f>(teraterm[[#This Row],[Column2]]-Q$4)*$S$3*1000</f>
        <v>117.18749999999999</v>
      </c>
      <c r="E231" s="1">
        <f>IF(ABS(VALUE(teraterm[[#This Row],[Column1]]))&lt;4096,VALUE(teraterm[[#This Row],[Column1]]),0)</f>
        <v>4021</v>
      </c>
      <c r="F231" s="1">
        <f>teraterm[[#This Row],[V(V)]]^2</f>
        <v>134975.78164292872</v>
      </c>
    </row>
    <row r="232" spans="1:6" x14ac:dyDescent="0.25">
      <c r="A232" s="7">
        <v>3971</v>
      </c>
      <c r="B232" s="2">
        <v>636</v>
      </c>
      <c r="C232" s="1">
        <f>(teraterm[[#This Row],[Value(V)]]+$K$2)*$S$2</f>
        <v>362.8311767578125</v>
      </c>
      <c r="D232" s="1">
        <f>(teraterm[[#This Row],[Column2]]-Q$4)*$S$3*1000</f>
        <v>112.30468749999999</v>
      </c>
      <c r="E232" s="1">
        <f>IF(ABS(VALUE(teraterm[[#This Row],[Column1]]))&lt;4096,VALUE(teraterm[[#This Row],[Column1]]),0)</f>
        <v>3971</v>
      </c>
      <c r="F232" s="1">
        <f>teraterm[[#This Row],[V(V)]]^2</f>
        <v>131646.46282745898</v>
      </c>
    </row>
    <row r="233" spans="1:6" x14ac:dyDescent="0.25">
      <c r="A233" s="7">
        <v>3832</v>
      </c>
      <c r="B233" s="2">
        <v>619</v>
      </c>
      <c r="C233" s="1">
        <f>(teraterm[[#This Row],[Value(V)]]+$K$2)*$S$2</f>
        <v>350.15625</v>
      </c>
      <c r="D233" s="1">
        <f>(teraterm[[#This Row],[Column2]]-Q$4)*$S$3*1000</f>
        <v>105.38736979166666</v>
      </c>
      <c r="E233" s="1">
        <f>IF(ABS(VALUE(teraterm[[#This Row],[Column1]]))&lt;4096,VALUE(teraterm[[#This Row],[Column1]]),0)</f>
        <v>3832</v>
      </c>
      <c r="F233" s="1">
        <f>teraterm[[#This Row],[V(V)]]^2</f>
        <v>122609.3994140625</v>
      </c>
    </row>
    <row r="234" spans="1:6" x14ac:dyDescent="0.25">
      <c r="A234" s="7">
        <v>3647</v>
      </c>
      <c r="B234" s="2">
        <v>589</v>
      </c>
      <c r="C234" s="1">
        <f>(teraterm[[#This Row],[Value(V)]]+$K$2)*$S$2</f>
        <v>333.2867431640625</v>
      </c>
      <c r="D234" s="1">
        <f>(teraterm[[#This Row],[Column2]]-Q$4)*$S$3*1000</f>
        <v>93.180338541666657</v>
      </c>
      <c r="E234" s="1">
        <f>IF(ABS(VALUE(teraterm[[#This Row],[Column1]]))&lt;4096,VALUE(teraterm[[#This Row],[Column1]]),0)</f>
        <v>3647</v>
      </c>
      <c r="F234" s="1">
        <f>teraterm[[#This Row],[V(V)]]^2</f>
        <v>111080.05316890776</v>
      </c>
    </row>
    <row r="235" spans="1:6" x14ac:dyDescent="0.25">
      <c r="A235" s="7">
        <v>3451</v>
      </c>
      <c r="B235" s="2">
        <v>542</v>
      </c>
      <c r="C235" s="1">
        <f>(teraterm[[#This Row],[Value(V)]]+$K$2)*$S$2</f>
        <v>315.4141845703125</v>
      </c>
      <c r="D235" s="1">
        <f>(teraterm[[#This Row],[Column2]]-Q$4)*$S$3*1000</f>
        <v>74.055989583333329</v>
      </c>
      <c r="E235" s="1">
        <f>IF(ABS(VALUE(teraterm[[#This Row],[Column1]]))&lt;4096,VALUE(teraterm[[#This Row],[Column1]]),0)</f>
        <v>3451</v>
      </c>
      <c r="F235" s="1">
        <f>teraterm[[#This Row],[V(V)]]^2</f>
        <v>99486.10782815516</v>
      </c>
    </row>
    <row r="236" spans="1:6" x14ac:dyDescent="0.25">
      <c r="A236" s="7">
        <v>3247</v>
      </c>
      <c r="B236" s="2">
        <v>517</v>
      </c>
      <c r="C236" s="1">
        <f>(teraterm[[#This Row],[Value(V)]]+$K$2)*$S$2</f>
        <v>296.8121337890625</v>
      </c>
      <c r="D236" s="1">
        <f>(teraterm[[#This Row],[Column2]]-Q$4)*$S$3*1000</f>
        <v>63.883463541666657</v>
      </c>
      <c r="E236" s="1">
        <f>IF(ABS(VALUE(teraterm[[#This Row],[Column1]]))&lt;4096,VALUE(teraterm[[#This Row],[Column1]]),0)</f>
        <v>3247</v>
      </c>
      <c r="F236" s="1">
        <f>teraterm[[#This Row],[V(V)]]^2</f>
        <v>88097.442764416337</v>
      </c>
    </row>
    <row r="237" spans="1:6" x14ac:dyDescent="0.25">
      <c r="A237" s="7">
        <v>3015</v>
      </c>
      <c r="B237" s="2">
        <v>487</v>
      </c>
      <c r="C237" s="1">
        <f>(teraterm[[#This Row],[Value(V)]]+$K$2)*$S$2</f>
        <v>275.6568603515625</v>
      </c>
      <c r="D237" s="1">
        <f>(teraterm[[#This Row],[Column2]]-Q$4)*$S$3*1000</f>
        <v>51.676432291666664</v>
      </c>
      <c r="E237" s="1">
        <f>IF(ABS(VALUE(teraterm[[#This Row],[Column1]]))&lt;4096,VALUE(teraterm[[#This Row],[Column1]]),0)</f>
        <v>3015</v>
      </c>
      <c r="F237" s="1">
        <f>teraterm[[#This Row],[V(V)]]^2</f>
        <v>75986.70465888083</v>
      </c>
    </row>
    <row r="238" spans="1:6" x14ac:dyDescent="0.25">
      <c r="A238" s="7">
        <v>2775</v>
      </c>
      <c r="B238" s="2">
        <v>412</v>
      </c>
      <c r="C238" s="1">
        <f>(teraterm[[#This Row],[Value(V)]]+$K$2)*$S$2</f>
        <v>253.7720947265625</v>
      </c>
      <c r="D238" s="1">
        <f>(teraterm[[#This Row],[Column2]]-Q$4)*$S$3*1000</f>
        <v>21.158854166666664</v>
      </c>
      <c r="E238" s="1">
        <f>IF(ABS(VALUE(teraterm[[#This Row],[Column1]]))&lt;4096,VALUE(teraterm[[#This Row],[Column1]]),0)</f>
        <v>2775</v>
      </c>
      <c r="F238" s="1">
        <f>teraterm[[#This Row],[V(V)]]^2</f>
        <v>64400.276061907411</v>
      </c>
    </row>
    <row r="239" spans="1:6" x14ac:dyDescent="0.25">
      <c r="A239" s="7">
        <v>2516</v>
      </c>
      <c r="B239" s="2">
        <v>375</v>
      </c>
      <c r="C239" s="1">
        <f>(teraterm[[#This Row],[Value(V)]]+$K$2)*$S$2</f>
        <v>230.15478515625</v>
      </c>
      <c r="D239" s="1">
        <f>(teraterm[[#This Row],[Column2]]-Q$4)*$S$3*1000</f>
        <v>6.1035156249999991</v>
      </c>
      <c r="E239" s="1">
        <f>IF(ABS(VALUE(teraterm[[#This Row],[Column1]]))&lt;4096,VALUE(teraterm[[#This Row],[Column1]]),0)</f>
        <v>2516</v>
      </c>
      <c r="F239" s="1">
        <f>teraterm[[#This Row],[V(V)]]^2</f>
        <v>52971.225130319595</v>
      </c>
    </row>
    <row r="240" spans="1:6" x14ac:dyDescent="0.25">
      <c r="A240" s="7">
        <v>2240</v>
      </c>
      <c r="B240" s="2">
        <v>346</v>
      </c>
      <c r="C240" s="1">
        <f>(teraterm[[#This Row],[Value(V)]]+$K$2)*$S$2</f>
        <v>204.9873046875</v>
      </c>
      <c r="D240" s="1">
        <f>(teraterm[[#This Row],[Column2]]-Q$4)*$S$3*1000</f>
        <v>-5.696614583333333</v>
      </c>
      <c r="E240" s="1">
        <f>IF(ABS(VALUE(teraterm[[#This Row],[Column1]]))&lt;4096,VALUE(teraterm[[#This Row],[Column1]]),0)</f>
        <v>2240</v>
      </c>
      <c r="F240" s="1">
        <f>teraterm[[#This Row],[V(V)]]^2</f>
        <v>42019.795083045959</v>
      </c>
    </row>
    <row r="241" spans="1:6" x14ac:dyDescent="0.25">
      <c r="A241" s="7">
        <v>1960</v>
      </c>
      <c r="B241" s="2">
        <v>315</v>
      </c>
      <c r="C241" s="1">
        <f>(teraterm[[#This Row],[Value(V)]]+$K$2)*$S$2</f>
        <v>179.455078125</v>
      </c>
      <c r="D241" s="1">
        <f>(teraterm[[#This Row],[Column2]]-Q$4)*$S$3*1000</f>
        <v>-18.310546875</v>
      </c>
      <c r="E241" s="1">
        <f>IF(ABS(VALUE(teraterm[[#This Row],[Column1]]))&lt;4096,VALUE(teraterm[[#This Row],[Column1]]),0)</f>
        <v>1960</v>
      </c>
      <c r="F241" s="1">
        <f>teraterm[[#This Row],[V(V)]]^2</f>
        <v>32204.125064849854</v>
      </c>
    </row>
    <row r="242" spans="1:6" x14ac:dyDescent="0.25">
      <c r="A242" s="7">
        <v>1705</v>
      </c>
      <c r="B242" s="2">
        <v>253</v>
      </c>
      <c r="C242" s="1">
        <f>(teraterm[[#This Row],[Value(V)]]+$K$2)*$S$2</f>
        <v>156.2025146484375</v>
      </c>
      <c r="D242" s="1">
        <f>(teraterm[[#This Row],[Column2]]-Q$4)*$S$3*1000</f>
        <v>-43.538411458333329</v>
      </c>
      <c r="E242" s="1">
        <f>IF(ABS(VALUE(teraterm[[#This Row],[Column1]]))&lt;4096,VALUE(teraterm[[#This Row],[Column1]]),0)</f>
        <v>1705</v>
      </c>
      <c r="F242" s="1">
        <f>teraterm[[#This Row],[V(V)]]^2</f>
        <v>24399.225582495332</v>
      </c>
    </row>
    <row r="243" spans="1:6" x14ac:dyDescent="0.25">
      <c r="A243" s="7">
        <v>1455</v>
      </c>
      <c r="B243" s="2">
        <v>229</v>
      </c>
      <c r="C243" s="1">
        <f>(teraterm[[#This Row],[Value(V)]]+$K$2)*$S$2</f>
        <v>133.4058837890625</v>
      </c>
      <c r="D243" s="1">
        <f>(teraterm[[#This Row],[Column2]]-Q$4)*$S$3*1000</f>
        <v>-53.304036458333329</v>
      </c>
      <c r="E243" s="1">
        <f>IF(ABS(VALUE(teraterm[[#This Row],[Column1]]))&lt;4096,VALUE(teraterm[[#This Row],[Column1]]),0)</f>
        <v>1455</v>
      </c>
      <c r="F243" s="1">
        <f>teraterm[[#This Row],[V(V)]]^2</f>
        <v>17797.129829540849</v>
      </c>
    </row>
    <row r="244" spans="1:6" x14ac:dyDescent="0.25">
      <c r="A244" s="7">
        <v>1217</v>
      </c>
      <c r="B244" s="2">
        <v>167</v>
      </c>
      <c r="C244" s="1">
        <f>(teraterm[[#This Row],[Value(V)]]+$K$2)*$S$2</f>
        <v>111.7034912109375</v>
      </c>
      <c r="D244" s="1">
        <f>(teraterm[[#This Row],[Column2]]-Q$4)*$S$3*1000</f>
        <v>-78.531901041666657</v>
      </c>
      <c r="E244" s="1">
        <f>IF(ABS(VALUE(teraterm[[#This Row],[Column1]]))&lt;4096,VALUE(teraterm[[#This Row],[Column1]]),0)</f>
        <v>1217</v>
      </c>
      <c r="F244" s="1">
        <f>teraterm[[#This Row],[V(V)]]^2</f>
        <v>12477.669948711991</v>
      </c>
    </row>
    <row r="245" spans="1:6" x14ac:dyDescent="0.25">
      <c r="A245" s="7">
        <v>993</v>
      </c>
      <c r="B245" s="2">
        <v>107</v>
      </c>
      <c r="C245" s="1">
        <f>(teraterm[[#This Row],[Value(V)]]+$K$2)*$S$2</f>
        <v>91.2777099609375</v>
      </c>
      <c r="D245" s="1">
        <f>(teraterm[[#This Row],[Column2]]-Q$4)*$S$3*1000</f>
        <v>-102.94596354166666</v>
      </c>
      <c r="E245" s="1">
        <f>IF(ABS(VALUE(teraterm[[#This Row],[Column1]]))&lt;4096,VALUE(teraterm[[#This Row],[Column1]]),0)</f>
        <v>993</v>
      </c>
      <c r="F245" s="1">
        <f>teraterm[[#This Row],[V(V)]]^2</f>
        <v>8331.6203357130289</v>
      </c>
    </row>
    <row r="246" spans="1:6" x14ac:dyDescent="0.25">
      <c r="A246" s="7">
        <v>780</v>
      </c>
      <c r="B246" s="2">
        <v>29</v>
      </c>
      <c r="C246" s="1">
        <f>(teraterm[[#This Row],[Value(V)]]+$K$2)*$S$2</f>
        <v>71.85498046875</v>
      </c>
      <c r="D246" s="1">
        <f>(teraterm[[#This Row],[Column2]]-Q$4)*$S$3*1000</f>
        <v>-134.68424479166666</v>
      </c>
      <c r="E246" s="1">
        <f>IF(ABS(VALUE(teraterm[[#This Row],[Column1]]))&lt;4096,VALUE(teraterm[[#This Row],[Column1]]),0)</f>
        <v>780</v>
      </c>
      <c r="F246" s="1">
        <f>teraterm[[#This Row],[V(V)]]^2</f>
        <v>5163.138218164444</v>
      </c>
    </row>
    <row r="247" spans="1:6" x14ac:dyDescent="0.25">
      <c r="A247" s="7">
        <v>600</v>
      </c>
      <c r="B247" s="2">
        <v>-24</v>
      </c>
      <c r="C247" s="1">
        <f>(teraterm[[#This Row],[Value(V)]]+$K$2)*$S$2</f>
        <v>55.44140625</v>
      </c>
      <c r="D247" s="1">
        <f>(teraterm[[#This Row],[Column2]]-Q$4)*$S$3*1000</f>
        <v>-156.25</v>
      </c>
      <c r="E247" s="1">
        <f>IF(ABS(VALUE(teraterm[[#This Row],[Column1]]))&lt;4096,VALUE(teraterm[[#This Row],[Column1]]),0)</f>
        <v>600</v>
      </c>
      <c r="F247" s="1">
        <f>teraterm[[#This Row],[V(V)]]^2</f>
        <v>3073.7495269775391</v>
      </c>
    </row>
    <row r="248" spans="1:6" x14ac:dyDescent="0.25">
      <c r="A248" s="7">
        <v>460</v>
      </c>
      <c r="B248" s="2">
        <v>-57</v>
      </c>
      <c r="C248" s="1">
        <f>(teraterm[[#This Row],[Value(V)]]+$K$2)*$S$2</f>
        <v>42.67529296875</v>
      </c>
      <c r="D248" s="1">
        <f>(teraterm[[#This Row],[Column2]]-Q$4)*$S$3*1000</f>
        <v>-169.67773437499997</v>
      </c>
      <c r="E248" s="1">
        <f>IF(ABS(VALUE(teraterm[[#This Row],[Column1]]))&lt;4096,VALUE(teraterm[[#This Row],[Column1]]),0)</f>
        <v>460</v>
      </c>
      <c r="F248" s="1">
        <f>teraterm[[#This Row],[V(V)]]^2</f>
        <v>1821.1806299686432</v>
      </c>
    </row>
    <row r="249" spans="1:6" x14ac:dyDescent="0.25">
      <c r="A249" s="7">
        <v>332</v>
      </c>
      <c r="B249" s="2">
        <v>-95</v>
      </c>
      <c r="C249" s="1">
        <f>(teraterm[[#This Row],[Value(V)]]+$K$2)*$S$2</f>
        <v>31.00341796875</v>
      </c>
      <c r="D249" s="1">
        <f>(teraterm[[#This Row],[Column2]]-Q$4)*$S$3*1000</f>
        <v>-185.13997395833331</v>
      </c>
      <c r="E249" s="1">
        <f>IF(ABS(VALUE(teraterm[[#This Row],[Column1]]))&lt;4096,VALUE(teraterm[[#This Row],[Column1]]),0)</f>
        <v>332</v>
      </c>
      <c r="F249" s="1">
        <f>teraterm[[#This Row],[V(V)]]^2</f>
        <v>961.21192574501038</v>
      </c>
    </row>
    <row r="250" spans="1:6" x14ac:dyDescent="0.25">
      <c r="A250" s="7">
        <v>280</v>
      </c>
      <c r="B250" s="2">
        <v>-113</v>
      </c>
      <c r="C250" s="1">
        <f>(teraterm[[#This Row],[Value(V)]]+$K$2)*$S$2</f>
        <v>26.26171875</v>
      </c>
      <c r="D250" s="1">
        <f>(teraterm[[#This Row],[Column2]]-Q$4)*$S$3*1000</f>
        <v>-192.46419270833331</v>
      </c>
      <c r="E250" s="1">
        <f>IF(ABS(VALUE(teraterm[[#This Row],[Column1]]))&lt;4096,VALUE(teraterm[[#This Row],[Column1]]),0)</f>
        <v>280</v>
      </c>
      <c r="F250" s="1">
        <f>teraterm[[#This Row],[V(V)]]^2</f>
        <v>689.67787170410156</v>
      </c>
    </row>
    <row r="251" spans="1:6" x14ac:dyDescent="0.25">
      <c r="A251" s="7">
        <v>267</v>
      </c>
      <c r="B251" s="2">
        <v>-121</v>
      </c>
      <c r="C251" s="1">
        <f>(teraterm[[#This Row],[Value(V)]]+$K$2)*$S$2</f>
        <v>25.0762939453125</v>
      </c>
      <c r="D251" s="1">
        <f>(teraterm[[#This Row],[Column2]]-Q$4)*$S$3*1000</f>
        <v>-195.71940104166666</v>
      </c>
      <c r="E251" s="1">
        <f>IF(ABS(VALUE(teraterm[[#This Row],[Column1]]))&lt;4096,VALUE(teraterm[[#This Row],[Column1]]),0)</f>
        <v>267</v>
      </c>
      <c r="F251" s="1">
        <f>teraterm[[#This Row],[V(V)]]^2</f>
        <v>628.82051803171635</v>
      </c>
    </row>
    <row r="252" spans="1:6" x14ac:dyDescent="0.25">
      <c r="A252" s="7">
        <v>264</v>
      </c>
      <c r="B252" s="2">
        <v>-106</v>
      </c>
      <c r="C252" s="1">
        <f>(teraterm[[#This Row],[Value(V)]]+$K$2)*$S$2</f>
        <v>24.802734375</v>
      </c>
      <c r="D252" s="1">
        <f>(teraterm[[#This Row],[Column2]]-Q$4)*$S$3*1000</f>
        <v>-189.61588541666666</v>
      </c>
      <c r="E252" s="1">
        <f>IF(ABS(VALUE(teraterm[[#This Row],[Column1]]))&lt;4096,VALUE(teraterm[[#This Row],[Column1]]),0)</f>
        <v>264</v>
      </c>
      <c r="F252" s="1">
        <f>teraterm[[#This Row],[V(V)]]^2</f>
        <v>615.17563247680664</v>
      </c>
    </row>
    <row r="253" spans="1:6" x14ac:dyDescent="0.25">
      <c r="A253" s="7">
        <v>273</v>
      </c>
      <c r="B253" s="2">
        <v>-100</v>
      </c>
      <c r="C253" s="1">
        <f>(teraterm[[#This Row],[Value(V)]]+$K$2)*$S$2</f>
        <v>25.6234130859375</v>
      </c>
      <c r="D253" s="1">
        <f>(teraterm[[#This Row],[Column2]]-Q$4)*$S$3*1000</f>
        <v>-187.17447916666666</v>
      </c>
      <c r="E253" s="1">
        <f>IF(ABS(VALUE(teraterm[[#This Row],[Column1]]))&lt;4096,VALUE(teraterm[[#This Row],[Column1]]),0)</f>
        <v>273</v>
      </c>
      <c r="F253" s="1">
        <f>teraterm[[#This Row],[V(V)]]^2</f>
        <v>656.55929817259312</v>
      </c>
    </row>
    <row r="254" spans="1:6" x14ac:dyDescent="0.25">
      <c r="A254" s="7">
        <v>309</v>
      </c>
      <c r="B254" s="2">
        <v>-82</v>
      </c>
      <c r="C254" s="1">
        <f>(teraterm[[#This Row],[Value(V)]]+$K$2)*$S$2</f>
        <v>28.9061279296875</v>
      </c>
      <c r="D254" s="1">
        <f>(teraterm[[#This Row],[Column2]]-Q$4)*$S$3*1000</f>
        <v>-179.85026041666666</v>
      </c>
      <c r="E254" s="1">
        <f>IF(ABS(VALUE(teraterm[[#This Row],[Column1]]))&lt;4096,VALUE(teraterm[[#This Row],[Column1]]),0)</f>
        <v>309</v>
      </c>
      <c r="F254" s="1">
        <f>teraterm[[#This Row],[V(V)]]^2</f>
        <v>835.56423188745975</v>
      </c>
    </row>
    <row r="255" spans="1:6" x14ac:dyDescent="0.25">
      <c r="A255" s="7">
        <v>425</v>
      </c>
      <c r="B255" s="2">
        <v>-45</v>
      </c>
      <c r="C255" s="1">
        <f>(teraterm[[#This Row],[Value(V)]]+$K$2)*$S$2</f>
        <v>39.4837646484375</v>
      </c>
      <c r="D255" s="1">
        <f>(teraterm[[#This Row],[Column2]]-Q$4)*$S$3*1000</f>
        <v>-164.79492187499997</v>
      </c>
      <c r="E255" s="1">
        <f>IF(ABS(VALUE(teraterm[[#This Row],[Column1]]))&lt;4096,VALUE(teraterm[[#This Row],[Column1]]),0)</f>
        <v>425</v>
      </c>
      <c r="F255" s="1">
        <f>teraterm[[#This Row],[V(V)]]^2</f>
        <v>1558.9676708132029</v>
      </c>
    </row>
    <row r="256" spans="1:6" x14ac:dyDescent="0.25">
      <c r="A256" s="7">
        <v>624</v>
      </c>
      <c r="B256" s="2">
        <v>29</v>
      </c>
      <c r="C256" s="1">
        <f>(teraterm[[#This Row],[Value(V)]]+$K$2)*$S$2</f>
        <v>57.6298828125</v>
      </c>
      <c r="D256" s="1">
        <f>(teraterm[[#This Row],[Column2]]-Q$4)*$S$3*1000</f>
        <v>-134.68424479166666</v>
      </c>
      <c r="E256" s="1">
        <f>IF(ABS(VALUE(teraterm[[#This Row],[Column1]]))&lt;4096,VALUE(teraterm[[#This Row],[Column1]]),0)</f>
        <v>624</v>
      </c>
      <c r="F256" s="1">
        <f>teraterm[[#This Row],[V(V)]]^2</f>
        <v>3321.2033929824829</v>
      </c>
    </row>
    <row r="257" spans="1:6" x14ac:dyDescent="0.25">
      <c r="A257" s="7">
        <v>825</v>
      </c>
      <c r="B257" s="2">
        <v>76</v>
      </c>
      <c r="C257" s="1">
        <f>(teraterm[[#This Row],[Value(V)]]+$K$2)*$S$2</f>
        <v>75.9583740234375</v>
      </c>
      <c r="D257" s="1">
        <f>(teraterm[[#This Row],[Column2]]-Q$4)*$S$3*1000</f>
        <v>-115.55989583333333</v>
      </c>
      <c r="E257" s="1">
        <f>IF(ABS(VALUE(teraterm[[#This Row],[Column1]]))&lt;4096,VALUE(teraterm[[#This Row],[Column1]]),0)</f>
        <v>825</v>
      </c>
      <c r="F257" s="1">
        <f>teraterm[[#This Row],[V(V)]]^2</f>
        <v>5769.6745842844248</v>
      </c>
    </row>
    <row r="258" spans="1:6" x14ac:dyDescent="0.25">
      <c r="A258" s="7">
        <v>1040</v>
      </c>
      <c r="B258" s="2">
        <v>117</v>
      </c>
      <c r="C258" s="1">
        <f>(teraterm[[#This Row],[Value(V)]]+$K$2)*$S$2</f>
        <v>95.5634765625</v>
      </c>
      <c r="D258" s="1">
        <f>(teraterm[[#This Row],[Column2]]-Q$4)*$S$3*1000</f>
        <v>-98.876953124999986</v>
      </c>
      <c r="E258" s="1">
        <f>IF(ABS(VALUE(teraterm[[#This Row],[Column1]]))&lt;4096,VALUE(teraterm[[#This Row],[Column1]]),0)</f>
        <v>1040</v>
      </c>
      <c r="F258" s="1">
        <f>teraterm[[#This Row],[V(V)]]^2</f>
        <v>9132.3780527114868</v>
      </c>
    </row>
    <row r="259" spans="1:6" x14ac:dyDescent="0.25">
      <c r="A259" s="7">
        <v>1272</v>
      </c>
      <c r="B259" s="2">
        <v>174</v>
      </c>
      <c r="C259" s="1">
        <f>(teraterm[[#This Row],[Value(V)]]+$K$2)*$S$2</f>
        <v>116.71875</v>
      </c>
      <c r="D259" s="1">
        <f>(teraterm[[#This Row],[Column2]]-Q$4)*$S$3*1000</f>
        <v>-75.68359375</v>
      </c>
      <c r="E259" s="1">
        <f>IF(ABS(VALUE(teraterm[[#This Row],[Column1]]))&lt;4096,VALUE(teraterm[[#This Row],[Column1]]),0)</f>
        <v>1272</v>
      </c>
      <c r="F259" s="1">
        <f>teraterm[[#This Row],[V(V)]]^2</f>
        <v>13623.2666015625</v>
      </c>
    </row>
    <row r="260" spans="1:6" x14ac:dyDescent="0.25">
      <c r="A260" s="7">
        <v>1511</v>
      </c>
      <c r="B260" s="2">
        <v>207</v>
      </c>
      <c r="C260" s="1">
        <f>(teraterm[[#This Row],[Value(V)]]+$K$2)*$S$2</f>
        <v>138.5123291015625</v>
      </c>
      <c r="D260" s="1">
        <f>(teraterm[[#This Row],[Column2]]-Q$4)*$S$3*1000</f>
        <v>-62.255859374999993</v>
      </c>
      <c r="E260" s="1">
        <f>IF(ABS(VALUE(teraterm[[#This Row],[Column1]]))&lt;4096,VALUE(teraterm[[#This Row],[Column1]]),0)</f>
        <v>1511</v>
      </c>
      <c r="F260" s="1">
        <f>teraterm[[#This Row],[V(V)]]^2</f>
        <v>19185.665313139558</v>
      </c>
    </row>
    <row r="261" spans="1:6" x14ac:dyDescent="0.25">
      <c r="A261" s="7">
        <v>1767</v>
      </c>
      <c r="B261" s="2">
        <v>269</v>
      </c>
      <c r="C261" s="1">
        <f>(teraterm[[#This Row],[Value(V)]]+$K$2)*$S$2</f>
        <v>161.8560791015625</v>
      </c>
      <c r="D261" s="1">
        <f>(teraterm[[#This Row],[Column2]]-Q$4)*$S$3*1000</f>
        <v>-37.027994791666664</v>
      </c>
      <c r="E261" s="1">
        <f>IF(ABS(VALUE(teraterm[[#This Row],[Column1]]))&lt;4096,VALUE(teraterm[[#This Row],[Column1]]),0)</f>
        <v>1767</v>
      </c>
      <c r="F261" s="1">
        <f>teraterm[[#This Row],[V(V)]]^2</f>
        <v>26197.390342131257</v>
      </c>
    </row>
    <row r="262" spans="1:6" x14ac:dyDescent="0.25">
      <c r="A262" s="7">
        <v>2040</v>
      </c>
      <c r="B262" s="2">
        <v>318</v>
      </c>
      <c r="C262" s="1">
        <f>(teraterm[[#This Row],[Value(V)]]+$K$2)*$S$2</f>
        <v>186.75</v>
      </c>
      <c r="D262" s="1">
        <f>(teraterm[[#This Row],[Column2]]-Q$4)*$S$3*1000</f>
        <v>-17.08984375</v>
      </c>
      <c r="E262" s="1">
        <f>IF(ABS(VALUE(teraterm[[#This Row],[Column1]]))&lt;4096,VALUE(teraterm[[#This Row],[Column1]]),0)</f>
        <v>2040</v>
      </c>
      <c r="F262" s="1">
        <f>teraterm[[#This Row],[V(V)]]^2</f>
        <v>34875.5625</v>
      </c>
    </row>
    <row r="263" spans="1:6" x14ac:dyDescent="0.25">
      <c r="A263" s="7">
        <v>2317</v>
      </c>
      <c r="B263" s="2">
        <v>367</v>
      </c>
      <c r="C263" s="1">
        <f>(teraterm[[#This Row],[Value(V)]]+$K$2)*$S$2</f>
        <v>212.0086669921875</v>
      </c>
      <c r="D263" s="1">
        <f>(teraterm[[#This Row],[Column2]]-Q$4)*$S$3*1000</f>
        <v>2.8483072916666665</v>
      </c>
      <c r="E263" s="1">
        <f>IF(ABS(VALUE(teraterm[[#This Row],[Column1]]))&lt;4096,VALUE(teraterm[[#This Row],[Column1]]),0)</f>
        <v>2317</v>
      </c>
      <c r="F263" s="1">
        <f>teraterm[[#This Row],[V(V)]]^2</f>
        <v>44947.674879804254</v>
      </c>
    </row>
    <row r="264" spans="1:6" x14ac:dyDescent="0.25">
      <c r="A264" s="7">
        <v>2575</v>
      </c>
      <c r="B264" s="2">
        <v>398</v>
      </c>
      <c r="C264" s="1">
        <f>(teraterm[[#This Row],[Value(V)]]+$K$2)*$S$2</f>
        <v>235.5347900390625</v>
      </c>
      <c r="D264" s="1">
        <f>(teraterm[[#This Row],[Column2]]-Q$4)*$S$3*1000</f>
        <v>15.462239583333332</v>
      </c>
      <c r="E264" s="1">
        <f>IF(ABS(VALUE(teraterm[[#This Row],[Column1]]))&lt;4096,VALUE(teraterm[[#This Row],[Column1]]),0)</f>
        <v>2575</v>
      </c>
      <c r="F264" s="1">
        <f>teraterm[[#This Row],[V(V)]]^2</f>
        <v>55476.637318745255</v>
      </c>
    </row>
    <row r="265" spans="1:6" x14ac:dyDescent="0.25">
      <c r="A265" s="7">
        <v>2818</v>
      </c>
      <c r="B265" s="2">
        <v>457</v>
      </c>
      <c r="C265" s="1">
        <f>(teraterm[[#This Row],[Value(V)]]+$K$2)*$S$2</f>
        <v>257.693115234375</v>
      </c>
      <c r="D265" s="1">
        <f>(teraterm[[#This Row],[Column2]]-Q$4)*$S$3*1000</f>
        <v>39.469401041666664</v>
      </c>
      <c r="E265" s="1">
        <f>IF(ABS(VALUE(teraterm[[#This Row],[Column1]]))&lt;4096,VALUE(teraterm[[#This Row],[Column1]]),0)</f>
        <v>2818</v>
      </c>
      <c r="F265" s="1">
        <f>teraterm[[#This Row],[V(V)]]^2</f>
        <v>66405.741639196873</v>
      </c>
    </row>
    <row r="266" spans="1:6" x14ac:dyDescent="0.25">
      <c r="A266" s="7">
        <v>3050</v>
      </c>
      <c r="B266" s="2">
        <v>479</v>
      </c>
      <c r="C266" s="1">
        <f>(teraterm[[#This Row],[Value(V)]]+$K$2)*$S$2</f>
        <v>278.848388671875</v>
      </c>
      <c r="D266" s="1">
        <f>(teraterm[[#This Row],[Column2]]-Q$4)*$S$3*1000</f>
        <v>48.421223958333329</v>
      </c>
      <c r="E266" s="1">
        <f>IF(ABS(VALUE(teraterm[[#This Row],[Column1]]))&lt;4096,VALUE(teraterm[[#This Row],[Column1]]),0)</f>
        <v>3050</v>
      </c>
      <c r="F266" s="1">
        <f>teraterm[[#This Row],[V(V)]]^2</f>
        <v>77756.423864901066</v>
      </c>
    </row>
    <row r="267" spans="1:6" x14ac:dyDescent="0.25">
      <c r="A267" s="7">
        <v>3265</v>
      </c>
      <c r="B267" s="2">
        <v>538</v>
      </c>
      <c r="C267" s="1">
        <f>(teraterm[[#This Row],[Value(V)]]+$K$2)*$S$2</f>
        <v>298.4534912109375</v>
      </c>
      <c r="D267" s="1">
        <f>(teraterm[[#This Row],[Column2]]-Q$4)*$S$3*1000</f>
        <v>72.428385416666657</v>
      </c>
      <c r="E267" s="1">
        <f>IF(ABS(VALUE(teraterm[[#This Row],[Column1]]))&lt;4096,VALUE(teraterm[[#This Row],[Column1]]),0)</f>
        <v>3265</v>
      </c>
      <c r="F267" s="1">
        <f>teraterm[[#This Row],[V(V)]]^2</f>
        <v>89074.486415997148</v>
      </c>
    </row>
    <row r="268" spans="1:6" x14ac:dyDescent="0.25">
      <c r="A268" s="7">
        <v>3472</v>
      </c>
      <c r="B268" s="2">
        <v>574</v>
      </c>
      <c r="C268" s="1">
        <f>(teraterm[[#This Row],[Value(V)]]+$K$2)*$S$2</f>
        <v>317.3291015625</v>
      </c>
      <c r="D268" s="1">
        <f>(teraterm[[#This Row],[Column2]]-Q$4)*$S$3*1000</f>
        <v>87.076822916666657</v>
      </c>
      <c r="E268" s="1">
        <f>IF(ABS(VALUE(teraterm[[#This Row],[Column1]]))&lt;4096,VALUE(teraterm[[#This Row],[Column1]]),0)</f>
        <v>3472</v>
      </c>
      <c r="F268" s="1">
        <f>teraterm[[#This Row],[V(V)]]^2</f>
        <v>100697.75869846344</v>
      </c>
    </row>
    <row r="269" spans="1:6" x14ac:dyDescent="0.25">
      <c r="A269" s="7">
        <v>3656</v>
      </c>
      <c r="B269" s="2">
        <v>601</v>
      </c>
      <c r="C269" s="1">
        <f>(teraterm[[#This Row],[Value(V)]]+$K$2)*$S$2</f>
        <v>334.107421875</v>
      </c>
      <c r="D269" s="1">
        <f>(teraterm[[#This Row],[Column2]]-Q$4)*$S$3*1000</f>
        <v>98.063151041666657</v>
      </c>
      <c r="E269" s="1">
        <f>IF(ABS(VALUE(teraterm[[#This Row],[Column1]]))&lt;4096,VALUE(teraterm[[#This Row],[Column1]]),0)</f>
        <v>3656</v>
      </c>
      <c r="F269" s="1">
        <f>teraterm[[#This Row],[V(V)]]^2</f>
        <v>111627.76935195923</v>
      </c>
    </row>
    <row r="270" spans="1:6" x14ac:dyDescent="0.25">
      <c r="A270" s="7">
        <v>3793</v>
      </c>
      <c r="B270" s="2">
        <v>627</v>
      </c>
      <c r="C270" s="1">
        <f>(teraterm[[#This Row],[Value(V)]]+$K$2)*$S$2</f>
        <v>346.5999755859375</v>
      </c>
      <c r="D270" s="1">
        <f>(teraterm[[#This Row],[Column2]]-Q$4)*$S$3*1000</f>
        <v>108.64257812499999</v>
      </c>
      <c r="E270" s="1">
        <f>IF(ABS(VALUE(teraterm[[#This Row],[Column1]]))&lt;4096,VALUE(teraterm[[#This Row],[Column1]]),0)</f>
        <v>3793</v>
      </c>
      <c r="F270" s="1">
        <f>teraterm[[#This Row],[V(V)]]^2</f>
        <v>120131.54307617247</v>
      </c>
    </row>
    <row r="271" spans="1:6" x14ac:dyDescent="0.25">
      <c r="A271" s="7">
        <v>3919</v>
      </c>
      <c r="B271" s="2">
        <v>649</v>
      </c>
      <c r="C271" s="1">
        <f>(teraterm[[#This Row],[Value(V)]]+$K$2)*$S$2</f>
        <v>358.0894775390625</v>
      </c>
      <c r="D271" s="1">
        <f>(teraterm[[#This Row],[Column2]]-Q$4)*$S$3*1000</f>
        <v>117.59440104166666</v>
      </c>
      <c r="E271" s="1">
        <f>IF(ABS(VALUE(teraterm[[#This Row],[Column1]]))&lt;4096,VALUE(teraterm[[#This Row],[Column1]]),0)</f>
        <v>3919</v>
      </c>
      <c r="F271" s="1">
        <f>teraterm[[#This Row],[V(V)]]^2</f>
        <v>128228.07392419875</v>
      </c>
    </row>
    <row r="272" spans="1:6" x14ac:dyDescent="0.25">
      <c r="A272" s="7">
        <v>3994</v>
      </c>
      <c r="B272" s="2">
        <v>662</v>
      </c>
      <c r="C272" s="1">
        <f>(teraterm[[#This Row],[Value(V)]]+$K$2)*$S$2</f>
        <v>364.928466796875</v>
      </c>
      <c r="D272" s="1">
        <f>(teraterm[[#This Row],[Column2]]-Q$4)*$S$3*1000</f>
        <v>122.88411458333333</v>
      </c>
      <c r="E272" s="1">
        <f>IF(ABS(VALUE(teraterm[[#This Row],[Column1]]))&lt;4096,VALUE(teraterm[[#This Row],[Column1]]),0)</f>
        <v>3994</v>
      </c>
      <c r="F272" s="1">
        <f>teraterm[[#This Row],[V(V)]]^2</f>
        <v>133172.7858787179</v>
      </c>
    </row>
    <row r="273" spans="1:6" x14ac:dyDescent="0.25">
      <c r="A273" s="7">
        <v>4015</v>
      </c>
      <c r="B273" s="2">
        <v>670</v>
      </c>
      <c r="C273" s="1">
        <f>(teraterm[[#This Row],[Value(V)]]+$K$2)*$S$2</f>
        <v>366.8433837890625</v>
      </c>
      <c r="D273" s="1">
        <f>(teraterm[[#This Row],[Column2]]-Q$4)*$S$3*1000</f>
        <v>126.13932291666666</v>
      </c>
      <c r="E273" s="1">
        <f>IF(ABS(VALUE(teraterm[[#This Row],[Column1]]))&lt;4096,VALUE(teraterm[[#This Row],[Column1]]),0)</f>
        <v>4015</v>
      </c>
      <c r="F273" s="1">
        <f>teraterm[[#This Row],[V(V)]]^2</f>
        <v>134574.0682298094</v>
      </c>
    </row>
    <row r="274" spans="1:6" x14ac:dyDescent="0.25">
      <c r="A274" s="7">
        <v>4026</v>
      </c>
      <c r="B274" s="2">
        <v>659</v>
      </c>
      <c r="C274" s="1">
        <f>(teraterm[[#This Row],[Value(V)]]+$K$2)*$S$2</f>
        <v>367.846435546875</v>
      </c>
      <c r="D274" s="1">
        <f>(teraterm[[#This Row],[Column2]]-Q$4)*$S$3*1000</f>
        <v>121.66341145833333</v>
      </c>
      <c r="E274" s="1">
        <f>IF(ABS(VALUE(teraterm[[#This Row],[Column1]]))&lt;4096,VALUE(teraterm[[#This Row],[Column1]]),0)</f>
        <v>4026</v>
      </c>
      <c r="F274" s="1">
        <f>teraterm[[#This Row],[V(V)]]^2</f>
        <v>135311.00014454126</v>
      </c>
    </row>
    <row r="275" spans="1:6" x14ac:dyDescent="0.25">
      <c r="A275" s="7">
        <v>4026</v>
      </c>
      <c r="B275" s="2">
        <v>664</v>
      </c>
      <c r="C275" s="1">
        <f>(teraterm[[#This Row],[Value(V)]]+$K$2)*$S$2</f>
        <v>367.846435546875</v>
      </c>
      <c r="D275" s="1">
        <f>(teraterm[[#This Row],[Column2]]-Q$4)*$S$3*1000</f>
        <v>123.69791666666666</v>
      </c>
      <c r="E275" s="1">
        <f>IF(ABS(VALUE(teraterm[[#This Row],[Column1]]))&lt;4096,VALUE(teraterm[[#This Row],[Column1]]),0)</f>
        <v>4026</v>
      </c>
      <c r="F275" s="1">
        <f>teraterm[[#This Row],[V(V)]]^2</f>
        <v>135311.00014454126</v>
      </c>
    </row>
    <row r="276" spans="1:6" x14ac:dyDescent="0.25">
      <c r="A276" s="7">
        <v>4012</v>
      </c>
      <c r="B276" s="2">
        <v>659</v>
      </c>
      <c r="C276" s="1">
        <f>(teraterm[[#This Row],[Value(V)]]+$K$2)*$S$2</f>
        <v>366.56982421875</v>
      </c>
      <c r="D276" s="1">
        <f>(teraterm[[#This Row],[Column2]]-Q$4)*$S$3*1000</f>
        <v>121.66341145833333</v>
      </c>
      <c r="E276" s="1">
        <f>IF(ABS(VALUE(teraterm[[#This Row],[Column1]]))&lt;4096,VALUE(teraterm[[#This Row],[Column1]]),0)</f>
        <v>4012</v>
      </c>
      <c r="F276" s="1">
        <f>teraterm[[#This Row],[V(V)]]^2</f>
        <v>134373.43602776527</v>
      </c>
    </row>
    <row r="277" spans="1:6" x14ac:dyDescent="0.25">
      <c r="A277" s="7">
        <v>3935</v>
      </c>
      <c r="B277" s="2">
        <v>631</v>
      </c>
      <c r="C277" s="1">
        <f>(teraterm[[#This Row],[Value(V)]]+$K$2)*$S$2</f>
        <v>359.5484619140625</v>
      </c>
      <c r="D277" s="1">
        <f>(teraterm[[#This Row],[Column2]]-Q$4)*$S$3*1000</f>
        <v>110.27018229166666</v>
      </c>
      <c r="E277" s="1">
        <f>IF(ABS(VALUE(teraterm[[#This Row],[Column1]]))&lt;4096,VALUE(teraterm[[#This Row],[Column1]]),0)</f>
        <v>3935</v>
      </c>
      <c r="F277" s="1">
        <f>teraterm[[#This Row],[V(V)]]^2</f>
        <v>129275.09646476805</v>
      </c>
    </row>
    <row r="278" spans="1:6" x14ac:dyDescent="0.25">
      <c r="A278" s="7">
        <v>3768</v>
      </c>
      <c r="B278" s="2">
        <v>613</v>
      </c>
      <c r="C278" s="1">
        <f>(teraterm[[#This Row],[Value(V)]]+$K$2)*$S$2</f>
        <v>344.3203125</v>
      </c>
      <c r="D278" s="1">
        <f>(teraterm[[#This Row],[Column2]]-Q$4)*$S$3*1000</f>
        <v>102.94596354166666</v>
      </c>
      <c r="E278" s="1">
        <f>IF(ABS(VALUE(teraterm[[#This Row],[Column1]]))&lt;4096,VALUE(teraterm[[#This Row],[Column1]]),0)</f>
        <v>3768</v>
      </c>
      <c r="F278" s="1">
        <f>teraterm[[#This Row],[V(V)]]^2</f>
        <v>118556.47760009766</v>
      </c>
    </row>
    <row r="279" spans="1:6" x14ac:dyDescent="0.25">
      <c r="A279" s="7">
        <v>3581</v>
      </c>
      <c r="B279" s="2">
        <v>573</v>
      </c>
      <c r="C279" s="1">
        <f>(teraterm[[#This Row],[Value(V)]]+$K$2)*$S$2</f>
        <v>327.2684326171875</v>
      </c>
      <c r="D279" s="1">
        <f>(teraterm[[#This Row],[Column2]]-Q$4)*$S$3*1000</f>
        <v>86.669921874999986</v>
      </c>
      <c r="E279" s="1">
        <f>IF(ABS(VALUE(teraterm[[#This Row],[Column1]]))&lt;4096,VALUE(teraterm[[#This Row],[Column1]]),0)</f>
        <v>3581</v>
      </c>
      <c r="F279" s="1">
        <f>teraterm[[#This Row],[V(V)]]^2</f>
        <v>107104.6269877106</v>
      </c>
    </row>
    <row r="280" spans="1:6" x14ac:dyDescent="0.25">
      <c r="A280" s="7">
        <v>3385</v>
      </c>
      <c r="B280" s="2">
        <v>529</v>
      </c>
      <c r="C280" s="1">
        <f>(teraterm[[#This Row],[Value(V)]]+$K$2)*$S$2</f>
        <v>309.3958740234375</v>
      </c>
      <c r="D280" s="1">
        <f>(teraterm[[#This Row],[Column2]]-Q$4)*$S$3*1000</f>
        <v>68.766276041666657</v>
      </c>
      <c r="E280" s="1">
        <f>IF(ABS(VALUE(teraterm[[#This Row],[Column1]]))&lt;4096,VALUE(teraterm[[#This Row],[Column1]]),0)</f>
        <v>3385</v>
      </c>
      <c r="F280" s="1">
        <f>teraterm[[#This Row],[V(V)]]^2</f>
        <v>95725.806862726808</v>
      </c>
    </row>
    <row r="281" spans="1:6" x14ac:dyDescent="0.25">
      <c r="A281" s="7">
        <v>3170</v>
      </c>
      <c r="B281" s="2">
        <v>502</v>
      </c>
      <c r="C281" s="1">
        <f>(teraterm[[#This Row],[Value(V)]]+$K$2)*$S$2</f>
        <v>289.790771484375</v>
      </c>
      <c r="D281" s="1">
        <f>(teraterm[[#This Row],[Column2]]-Q$4)*$S$3*1000</f>
        <v>57.779947916666664</v>
      </c>
      <c r="E281" s="1">
        <f>IF(ABS(VALUE(teraterm[[#This Row],[Column1]]))&lt;4096,VALUE(teraterm[[#This Row],[Column1]]),0)</f>
        <v>3170</v>
      </c>
      <c r="F281" s="1">
        <f>teraterm[[#This Row],[V(V)]]^2</f>
        <v>83978.691237509251</v>
      </c>
    </row>
    <row r="282" spans="1:6" x14ac:dyDescent="0.25">
      <c r="A282" s="7">
        <v>2933</v>
      </c>
      <c r="B282" s="2">
        <v>458</v>
      </c>
      <c r="C282" s="1">
        <f>(teraterm[[#This Row],[Value(V)]]+$K$2)*$S$2</f>
        <v>268.1795654296875</v>
      </c>
      <c r="D282" s="1">
        <f>(teraterm[[#This Row],[Column2]]-Q$4)*$S$3*1000</f>
        <v>39.876302083333329</v>
      </c>
      <c r="E282" s="1">
        <f>IF(ABS(VALUE(teraterm[[#This Row],[Column1]]))&lt;4096,VALUE(teraterm[[#This Row],[Column1]]),0)</f>
        <v>2933</v>
      </c>
      <c r="F282" s="1">
        <f>teraterm[[#This Row],[V(V)]]^2</f>
        <v>71920.279314056039</v>
      </c>
    </row>
    <row r="283" spans="1:6" x14ac:dyDescent="0.25">
      <c r="A283" s="7">
        <v>2688</v>
      </c>
      <c r="B283" s="2">
        <v>417</v>
      </c>
      <c r="C283" s="1">
        <f>(teraterm[[#This Row],[Value(V)]]+$K$2)*$S$2</f>
        <v>245.8388671875</v>
      </c>
      <c r="D283" s="1">
        <f>(teraterm[[#This Row],[Column2]]-Q$4)*$S$3*1000</f>
        <v>23.193359374999996</v>
      </c>
      <c r="E283" s="1">
        <f>IF(ABS(VALUE(teraterm[[#This Row],[Column1]]))&lt;4096,VALUE(teraterm[[#This Row],[Column1]]),0)</f>
        <v>2688</v>
      </c>
      <c r="F283" s="1">
        <f>teraterm[[#This Row],[V(V)]]^2</f>
        <v>60436.748620033264</v>
      </c>
    </row>
    <row r="284" spans="1:6" x14ac:dyDescent="0.25">
      <c r="A284" s="7">
        <v>2422</v>
      </c>
      <c r="B284" s="2">
        <v>377</v>
      </c>
      <c r="C284" s="1">
        <f>(teraterm[[#This Row],[Value(V)]]+$K$2)*$S$2</f>
        <v>221.583251953125</v>
      </c>
      <c r="D284" s="1">
        <f>(teraterm[[#This Row],[Column2]]-Q$4)*$S$3*1000</f>
        <v>6.917317708333333</v>
      </c>
      <c r="E284" s="1">
        <f>IF(ABS(VALUE(teraterm[[#This Row],[Column1]]))&lt;4096,VALUE(teraterm[[#This Row],[Column1]]),0)</f>
        <v>2422</v>
      </c>
      <c r="F284" s="1">
        <f>teraterm[[#This Row],[V(V)]]^2</f>
        <v>49099.137546122074</v>
      </c>
    </row>
    <row r="285" spans="1:6" x14ac:dyDescent="0.25">
      <c r="A285" s="7">
        <v>2143</v>
      </c>
      <c r="B285" s="2">
        <v>342</v>
      </c>
      <c r="C285" s="1">
        <f>(teraterm[[#This Row],[Value(V)]]+$K$2)*$S$2</f>
        <v>196.1422119140625</v>
      </c>
      <c r="D285" s="1">
        <f>(teraterm[[#This Row],[Column2]]-Q$4)*$S$3*1000</f>
        <v>-7.3242187499999991</v>
      </c>
      <c r="E285" s="1">
        <f>IF(ABS(VALUE(teraterm[[#This Row],[Column1]]))&lt;4096,VALUE(teraterm[[#This Row],[Column1]]),0)</f>
        <v>2143</v>
      </c>
      <c r="F285" s="1">
        <f>teraterm[[#This Row],[V(V)]]^2</f>
        <v>38471.767294541001</v>
      </c>
    </row>
    <row r="286" spans="1:6" x14ac:dyDescent="0.25">
      <c r="A286" s="7">
        <v>1867</v>
      </c>
      <c r="B286" s="2">
        <v>264</v>
      </c>
      <c r="C286" s="1">
        <f>(teraterm[[#This Row],[Value(V)]]+$K$2)*$S$2</f>
        <v>170.9747314453125</v>
      </c>
      <c r="D286" s="1">
        <f>(teraterm[[#This Row],[Column2]]-Q$4)*$S$3*1000</f>
        <v>-39.0625</v>
      </c>
      <c r="E286" s="1">
        <f>IF(ABS(VALUE(teraterm[[#This Row],[Column1]]))&lt;4096,VALUE(teraterm[[#This Row],[Column1]]),0)</f>
        <v>1867</v>
      </c>
      <c r="F286" s="1">
        <f>teraterm[[#This Row],[V(V)]]^2</f>
        <v>29232.358792796731</v>
      </c>
    </row>
    <row r="287" spans="1:6" x14ac:dyDescent="0.25">
      <c r="A287" s="7">
        <v>1615</v>
      </c>
      <c r="B287" s="2">
        <v>232</v>
      </c>
      <c r="C287" s="1">
        <f>(teraterm[[#This Row],[Value(V)]]+$K$2)*$S$2</f>
        <v>147.9957275390625</v>
      </c>
      <c r="D287" s="1">
        <f>(teraterm[[#This Row],[Column2]]-Q$4)*$S$3*1000</f>
        <v>-52.083333333333329</v>
      </c>
      <c r="E287" s="1">
        <f>IF(ABS(VALUE(teraterm[[#This Row],[Column1]]))&lt;4096,VALUE(teraterm[[#This Row],[Column1]]),0)</f>
        <v>1615</v>
      </c>
      <c r="F287" s="1">
        <f>teraterm[[#This Row],[V(V)]]^2</f>
        <v>21902.735369816422</v>
      </c>
    </row>
    <row r="288" spans="1:6" x14ac:dyDescent="0.25">
      <c r="A288" s="7">
        <v>1370</v>
      </c>
      <c r="B288" s="2">
        <v>185</v>
      </c>
      <c r="C288" s="1">
        <f>(teraterm[[#This Row],[Value(V)]]+$K$2)*$S$2</f>
        <v>125.655029296875</v>
      </c>
      <c r="D288" s="1">
        <f>(teraterm[[#This Row],[Column2]]-Q$4)*$S$3*1000</f>
        <v>-71.207682291666657</v>
      </c>
      <c r="E288" s="1">
        <f>IF(ABS(VALUE(teraterm[[#This Row],[Column1]]))&lt;4096,VALUE(teraterm[[#This Row],[Column1]]),0)</f>
        <v>1370</v>
      </c>
      <c r="F288" s="1">
        <f>teraterm[[#This Row],[V(V)]]^2</f>
        <v>15789.186387598515</v>
      </c>
    </row>
    <row r="289" spans="1:6" x14ac:dyDescent="0.25">
      <c r="A289" s="7">
        <v>1137</v>
      </c>
      <c r="B289" s="2">
        <v>127</v>
      </c>
      <c r="C289" s="1">
        <f>(teraterm[[#This Row],[Value(V)]]+$K$2)*$S$2</f>
        <v>104.4085693359375</v>
      </c>
      <c r="D289" s="1">
        <f>(teraterm[[#This Row],[Column2]]-Q$4)*$S$3*1000</f>
        <v>-94.807942708333329</v>
      </c>
      <c r="E289" s="1">
        <f>IF(ABS(VALUE(teraterm[[#This Row],[Column1]]))&lt;4096,VALUE(teraterm[[#This Row],[Column1]]),0)</f>
        <v>1137</v>
      </c>
      <c r="F289" s="1">
        <f>teraterm[[#This Row],[V(V)]]^2</f>
        <v>10901.149350777268</v>
      </c>
    </row>
    <row r="290" spans="1:6" x14ac:dyDescent="0.25">
      <c r="A290" s="7">
        <v>920</v>
      </c>
      <c r="B290" s="2">
        <v>87</v>
      </c>
      <c r="C290" s="1">
        <f>(teraterm[[#This Row],[Value(V)]]+$K$2)*$S$2</f>
        <v>84.62109375</v>
      </c>
      <c r="D290" s="1">
        <f>(teraterm[[#This Row],[Column2]]-Q$4)*$S$3*1000</f>
        <v>-111.08398437499999</v>
      </c>
      <c r="E290" s="1">
        <f>IF(ABS(VALUE(teraterm[[#This Row],[Column1]]))&lt;4096,VALUE(teraterm[[#This Row],[Column1]]),0)</f>
        <v>920</v>
      </c>
      <c r="F290" s="1">
        <f>teraterm[[#This Row],[V(V)]]^2</f>
        <v>7160.7295074462891</v>
      </c>
    </row>
    <row r="291" spans="1:6" x14ac:dyDescent="0.25">
      <c r="A291" s="7">
        <v>706</v>
      </c>
      <c r="B291" s="2">
        <v>8</v>
      </c>
      <c r="C291" s="1">
        <f>(teraterm[[#This Row],[Value(V)]]+$K$2)*$S$2</f>
        <v>65.107177734375</v>
      </c>
      <c r="D291" s="1">
        <f>(teraterm[[#This Row],[Column2]]-Q$4)*$S$3*1000</f>
        <v>-143.22916666666666</v>
      </c>
      <c r="E291" s="1">
        <f>IF(ABS(VALUE(teraterm[[#This Row],[Column1]]))&lt;4096,VALUE(teraterm[[#This Row],[Column1]]),0)</f>
        <v>706</v>
      </c>
      <c r="F291" s="1">
        <f>teraterm[[#This Row],[V(V)]]^2</f>
        <v>4238.9445925354958</v>
      </c>
    </row>
    <row r="292" spans="1:6" x14ac:dyDescent="0.25">
      <c r="A292" s="7">
        <v>546</v>
      </c>
      <c r="B292" s="2">
        <v>-30</v>
      </c>
      <c r="C292" s="1">
        <f>(teraterm[[#This Row],[Value(V)]]+$K$2)*$S$2</f>
        <v>50.517333984375</v>
      </c>
      <c r="D292" s="1">
        <f>(teraterm[[#This Row],[Column2]]-Q$4)*$S$3*1000</f>
        <v>-158.69140624999997</v>
      </c>
      <c r="E292" s="1">
        <f>IF(ABS(VALUE(teraterm[[#This Row],[Column1]]))&lt;4096,VALUE(teraterm[[#This Row],[Column1]]),0)</f>
        <v>546</v>
      </c>
      <c r="F292" s="1">
        <f>teraterm[[#This Row],[V(V)]]^2</f>
        <v>2552.0010328888893</v>
      </c>
    </row>
    <row r="293" spans="1:6" x14ac:dyDescent="0.25">
      <c r="A293" s="7">
        <v>410</v>
      </c>
      <c r="B293" s="2">
        <v>-54</v>
      </c>
      <c r="C293" s="1">
        <f>(teraterm[[#This Row],[Value(V)]]+$K$2)*$S$2</f>
        <v>38.115966796875</v>
      </c>
      <c r="D293" s="1">
        <f>(teraterm[[#This Row],[Column2]]-Q$4)*$S$3*1000</f>
        <v>-168.45703124999997</v>
      </c>
      <c r="E293" s="1">
        <f>IF(ABS(VALUE(teraterm[[#This Row],[Column1]]))&lt;4096,VALUE(teraterm[[#This Row],[Column1]]),0)</f>
        <v>410</v>
      </c>
      <c r="F293" s="1">
        <f>teraterm[[#This Row],[V(V)]]^2</f>
        <v>1452.8269248604774</v>
      </c>
    </row>
    <row r="294" spans="1:6" x14ac:dyDescent="0.25">
      <c r="A294" s="7">
        <v>303</v>
      </c>
      <c r="B294" s="2">
        <v>-99</v>
      </c>
      <c r="C294" s="1">
        <f>(teraterm[[#This Row],[Value(V)]]+$K$2)*$S$2</f>
        <v>28.3590087890625</v>
      </c>
      <c r="D294" s="1">
        <f>(teraterm[[#This Row],[Column2]]-Q$4)*$S$3*1000</f>
        <v>-186.76757812499997</v>
      </c>
      <c r="E294" s="1">
        <f>IF(ABS(VALUE(teraterm[[#This Row],[Column1]]))&lt;4096,VALUE(teraterm[[#This Row],[Column1]]),0)</f>
        <v>303</v>
      </c>
      <c r="F294" s="1">
        <f>teraterm[[#This Row],[V(V)]]^2</f>
        <v>804.23337949812412</v>
      </c>
    </row>
    <row r="295" spans="1:6" x14ac:dyDescent="0.25">
      <c r="A295" s="7">
        <v>273</v>
      </c>
      <c r="B295" s="2">
        <v>-116</v>
      </c>
      <c r="C295" s="1">
        <f>(teraterm[[#This Row],[Value(V)]]+$K$2)*$S$2</f>
        <v>25.6234130859375</v>
      </c>
      <c r="D295" s="1">
        <f>(teraterm[[#This Row],[Column2]]-Q$4)*$S$3*1000</f>
        <v>-193.68489583333331</v>
      </c>
      <c r="E295" s="1">
        <f>IF(ABS(VALUE(teraterm[[#This Row],[Column1]]))&lt;4096,VALUE(teraterm[[#This Row],[Column1]]),0)</f>
        <v>273</v>
      </c>
      <c r="F295" s="1">
        <f>teraterm[[#This Row],[V(V)]]^2</f>
        <v>656.55929817259312</v>
      </c>
    </row>
    <row r="296" spans="1:6" x14ac:dyDescent="0.25">
      <c r="A296" s="7">
        <v>264</v>
      </c>
      <c r="B296" s="2">
        <v>-109</v>
      </c>
      <c r="C296" s="1">
        <f>(teraterm[[#This Row],[Value(V)]]+$K$2)*$S$2</f>
        <v>24.802734375</v>
      </c>
      <c r="D296" s="1">
        <f>(teraterm[[#This Row],[Column2]]-Q$4)*$S$3*1000</f>
        <v>-190.83658854166666</v>
      </c>
      <c r="E296" s="1">
        <f>IF(ABS(VALUE(teraterm[[#This Row],[Column1]]))&lt;4096,VALUE(teraterm[[#This Row],[Column1]]),0)</f>
        <v>264</v>
      </c>
      <c r="F296" s="1">
        <f>teraterm[[#This Row],[V(V)]]^2</f>
        <v>615.17563247680664</v>
      </c>
    </row>
    <row r="297" spans="1:6" x14ac:dyDescent="0.25">
      <c r="A297" s="7">
        <v>2843</v>
      </c>
      <c r="B297" s="2">
        <v>451</v>
      </c>
      <c r="C297" s="1">
        <f>(teraterm[[#This Row],[Value(V)]]+$K$2)*$S$2</f>
        <v>259.9727783203125</v>
      </c>
      <c r="D297" s="1">
        <f>(teraterm[[#This Row],[Column2]]-Q$4)*$S$3*1000</f>
        <v>37.027994791666664</v>
      </c>
      <c r="E297" s="1">
        <f>IF(ABS(VALUE(teraterm[[#This Row],[Column1]]))&lt;4096,VALUE(teraterm[[#This Row],[Column1]]),0)</f>
        <v>2843</v>
      </c>
      <c r="F297" s="1">
        <f>teraterm[[#This Row],[V(V)]]^2</f>
        <v>67585.845467582345</v>
      </c>
    </row>
    <row r="298" spans="1:6" x14ac:dyDescent="0.25">
      <c r="A298" s="7">
        <v>2589</v>
      </c>
      <c r="B298" s="2">
        <v>393</v>
      </c>
      <c r="C298" s="1">
        <f>(teraterm[[#This Row],[Value(V)]]+$K$2)*$S$2</f>
        <v>236.8114013671875</v>
      </c>
      <c r="D298" s="1">
        <f>(teraterm[[#This Row],[Column2]]-Q$4)*$S$3*1000</f>
        <v>13.427734374999998</v>
      </c>
      <c r="E298" s="1">
        <f>IF(ABS(VALUE(teraterm[[#This Row],[Column1]]))&lt;4096,VALUE(teraterm[[#This Row],[Column1]]),0)</f>
        <v>2589</v>
      </c>
      <c r="F298" s="1">
        <f>teraterm[[#This Row],[V(V)]]^2</f>
        <v>56079.639817491174</v>
      </c>
    </row>
    <row r="299" spans="1:6" x14ac:dyDescent="0.25">
      <c r="A299" s="7">
        <v>2313</v>
      </c>
      <c r="B299" s="2">
        <v>364</v>
      </c>
      <c r="C299" s="1">
        <f>(teraterm[[#This Row],[Value(V)]]+$K$2)*$S$2</f>
        <v>211.6439208984375</v>
      </c>
      <c r="D299" s="1">
        <f>(teraterm[[#This Row],[Column2]]-Q$4)*$S$3*1000</f>
        <v>1.6276041666666665</v>
      </c>
      <c r="E299" s="1">
        <f>IF(ABS(VALUE(teraterm[[#This Row],[Column1]]))&lt;4096,VALUE(teraterm[[#This Row],[Column1]]),0)</f>
        <v>2313</v>
      </c>
      <c r="F299" s="1">
        <f>teraterm[[#This Row],[V(V)]]^2</f>
        <v>44793.14925326407</v>
      </c>
    </row>
    <row r="300" spans="1:6" x14ac:dyDescent="0.25">
      <c r="A300" s="7">
        <v>2030</v>
      </c>
      <c r="B300" s="2">
        <v>294</v>
      </c>
      <c r="C300" s="1">
        <f>(teraterm[[#This Row],[Value(V)]]+$K$2)*$S$2</f>
        <v>185.838134765625</v>
      </c>
      <c r="D300" s="1">
        <f>(teraterm[[#This Row],[Column2]]-Q$4)*$S$3*1000</f>
        <v>-26.855468749999996</v>
      </c>
      <c r="E300" s="1">
        <f>IF(ABS(VALUE(teraterm[[#This Row],[Column1]]))&lt;4096,VALUE(teraterm[[#This Row],[Column1]]),0)</f>
        <v>2030</v>
      </c>
      <c r="F300" s="1">
        <f>teraterm[[#This Row],[V(V)]]^2</f>
        <v>34535.812333166599</v>
      </c>
    </row>
    <row r="301" spans="1:6" x14ac:dyDescent="0.25">
      <c r="A301" s="7">
        <v>1764</v>
      </c>
      <c r="B301" s="2">
        <v>276</v>
      </c>
      <c r="C301" s="1">
        <f>(teraterm[[#This Row],[Value(V)]]+$K$2)*$S$2</f>
        <v>161.58251953125</v>
      </c>
      <c r="D301" s="1">
        <f>(teraterm[[#This Row],[Column2]]-Q$4)*$S$3*1000</f>
        <v>-34.1796875</v>
      </c>
      <c r="E301" s="1">
        <f>IF(ABS(VALUE(teraterm[[#This Row],[Column1]]))&lt;4096,VALUE(teraterm[[#This Row],[Column1]]),0)</f>
        <v>1764</v>
      </c>
      <c r="F301" s="1">
        <f>teraterm[[#This Row],[V(V)]]^2</f>
        <v>26108.910618066788</v>
      </c>
    </row>
    <row r="302" spans="1:6" x14ac:dyDescent="0.25">
      <c r="A302" s="7">
        <v>1513</v>
      </c>
      <c r="B302" s="2">
        <v>229</v>
      </c>
      <c r="C302" s="1">
        <f>(teraterm[[#This Row],[Value(V)]]+$K$2)*$S$2</f>
        <v>138.6947021484375</v>
      </c>
      <c r="D302" s="1">
        <f>(teraterm[[#This Row],[Column2]]-Q$4)*$S$3*1000</f>
        <v>-53.304036458333329</v>
      </c>
      <c r="E302" s="1">
        <f>IF(ABS(VALUE(teraterm[[#This Row],[Column1]]))&lt;4096,VALUE(teraterm[[#This Row],[Column1]]),0)</f>
        <v>1513</v>
      </c>
      <c r="F302" s="1">
        <f>teraterm[[#This Row],[V(V)]]^2</f>
        <v>19236.220404043794</v>
      </c>
    </row>
    <row r="303" spans="1:6" x14ac:dyDescent="0.25">
      <c r="A303" s="7">
        <v>1270</v>
      </c>
      <c r="B303" s="2">
        <v>165</v>
      </c>
      <c r="C303" s="1">
        <f>(teraterm[[#This Row],[Value(V)]]+$K$2)*$S$2</f>
        <v>116.536376953125</v>
      </c>
      <c r="D303" s="1">
        <f>(teraterm[[#This Row],[Column2]]-Q$4)*$S$3*1000</f>
        <v>-79.345703124999986</v>
      </c>
      <c r="E303" s="1">
        <f>IF(ABS(VALUE(teraterm[[#This Row],[Column1]]))&lt;4096,VALUE(teraterm[[#This Row],[Column1]]),0)</f>
        <v>1270</v>
      </c>
      <c r="F303" s="1">
        <f>teraterm[[#This Row],[V(V)]]^2</f>
        <v>13580.727153360844</v>
      </c>
    </row>
    <row r="304" spans="1:6" x14ac:dyDescent="0.25">
      <c r="A304" s="7">
        <v>1044</v>
      </c>
      <c r="B304" s="2">
        <v>107</v>
      </c>
      <c r="C304" s="1">
        <f>(teraterm[[#This Row],[Value(V)]]+$K$2)*$S$2</f>
        <v>95.92822265625</v>
      </c>
      <c r="D304" s="1">
        <f>(teraterm[[#This Row],[Column2]]-Q$4)*$S$3*1000</f>
        <v>-102.94596354166666</v>
      </c>
      <c r="E304" s="1">
        <f>IF(ABS(VALUE(teraterm[[#This Row],[Column1]]))&lt;4096,VALUE(teraterm[[#This Row],[Column1]]),0)</f>
        <v>1044</v>
      </c>
      <c r="F304" s="1">
        <f>teraterm[[#This Row],[V(V)]]^2</f>
        <v>9202.2239019870758</v>
      </c>
    </row>
    <row r="305" spans="1:6" x14ac:dyDescent="0.25">
      <c r="A305" s="7">
        <v>832</v>
      </c>
      <c r="B305" s="2">
        <v>47</v>
      </c>
      <c r="C305" s="1">
        <f>(teraterm[[#This Row],[Value(V)]]+$K$2)*$S$2</f>
        <v>76.5966796875</v>
      </c>
      <c r="D305" s="1">
        <f>(teraterm[[#This Row],[Column2]]-Q$4)*$S$3*1000</f>
        <v>-127.36002604166666</v>
      </c>
      <c r="E305" s="1">
        <f>IF(ABS(VALUE(teraterm[[#This Row],[Column1]]))&lt;4096,VALUE(teraterm[[#This Row],[Column1]]),0)</f>
        <v>832</v>
      </c>
      <c r="F305" s="1">
        <f>teraterm[[#This Row],[V(V)]]^2</f>
        <v>5867.0513391494751</v>
      </c>
    </row>
    <row r="306" spans="1:6" x14ac:dyDescent="0.25">
      <c r="A306" s="7">
        <v>634</v>
      </c>
      <c r="B306" s="2">
        <v>7</v>
      </c>
      <c r="C306" s="1">
        <f>(teraterm[[#This Row],[Value(V)]]+$K$2)*$S$2</f>
        <v>58.541748046875</v>
      </c>
      <c r="D306" s="1">
        <f>(teraterm[[#This Row],[Column2]]-Q$4)*$S$3*1000</f>
        <v>-143.63606770833331</v>
      </c>
      <c r="E306" s="1">
        <f>IF(ABS(VALUE(teraterm[[#This Row],[Column1]]))&lt;4096,VALUE(teraterm[[#This Row],[Column1]]),0)</f>
        <v>634</v>
      </c>
      <c r="F306" s="1">
        <f>teraterm[[#This Row],[V(V)]]^2</f>
        <v>3427.1362643837929</v>
      </c>
    </row>
    <row r="307" spans="1:6" x14ac:dyDescent="0.25">
      <c r="A307" s="7">
        <v>486</v>
      </c>
      <c r="B307" s="2">
        <v>-51</v>
      </c>
      <c r="C307" s="1">
        <f>(teraterm[[#This Row],[Value(V)]]+$K$2)*$S$2</f>
        <v>45.046142578125</v>
      </c>
      <c r="D307" s="1">
        <f>(teraterm[[#This Row],[Column2]]-Q$4)*$S$3*1000</f>
        <v>-167.23632812499997</v>
      </c>
      <c r="E307" s="1">
        <f>IF(ABS(VALUE(teraterm[[#This Row],[Column1]]))&lt;4096,VALUE(teraterm[[#This Row],[Column1]]),0)</f>
        <v>486</v>
      </c>
      <c r="F307" s="1">
        <f>teraterm[[#This Row],[V(V)]]^2</f>
        <v>2029.154961168766</v>
      </c>
    </row>
    <row r="308" spans="1:6" x14ac:dyDescent="0.25">
      <c r="A308" s="7">
        <v>359</v>
      </c>
      <c r="B308" s="2">
        <v>-85</v>
      </c>
      <c r="C308" s="1">
        <f>(teraterm[[#This Row],[Value(V)]]+$K$2)*$S$2</f>
        <v>33.4654541015625</v>
      </c>
      <c r="D308" s="1">
        <f>(teraterm[[#This Row],[Column2]]-Q$4)*$S$3*1000</f>
        <v>-181.07096354166666</v>
      </c>
      <c r="E308" s="1">
        <f>IF(ABS(VALUE(teraterm[[#This Row],[Column1]]))&lt;4096,VALUE(teraterm[[#This Row],[Column1]]),0)</f>
        <v>359</v>
      </c>
      <c r="F308" s="1">
        <f>teraterm[[#This Row],[V(V)]]^2</f>
        <v>1119.9366182237864</v>
      </c>
    </row>
    <row r="309" spans="1:6" x14ac:dyDescent="0.25">
      <c r="A309" s="7">
        <v>283</v>
      </c>
      <c r="B309" s="2">
        <v>-101</v>
      </c>
      <c r="C309" s="1">
        <f>(teraterm[[#This Row],[Value(V)]]+$K$2)*$S$2</f>
        <v>26.5352783203125</v>
      </c>
      <c r="D309" s="1">
        <f>(teraterm[[#This Row],[Column2]]-Q$4)*$S$3*1000</f>
        <v>-187.58138020833331</v>
      </c>
      <c r="E309" s="1">
        <f>IF(ABS(VALUE(teraterm[[#This Row],[Column1]]))&lt;4096,VALUE(teraterm[[#This Row],[Column1]]),0)</f>
        <v>283</v>
      </c>
      <c r="F309" s="1">
        <f>teraterm[[#This Row],[V(V)]]^2</f>
        <v>704.12099553644657</v>
      </c>
    </row>
    <row r="310" spans="1:6" x14ac:dyDescent="0.25">
      <c r="A310" s="7">
        <v>262</v>
      </c>
      <c r="B310" s="2">
        <v>-111</v>
      </c>
      <c r="C310" s="1">
        <f>(teraterm[[#This Row],[Value(V)]]+$K$2)*$S$2</f>
        <v>24.620361328125</v>
      </c>
      <c r="D310" s="1">
        <f>(teraterm[[#This Row],[Column2]]-Q$4)*$S$3*1000</f>
        <v>-191.65039062499997</v>
      </c>
      <c r="E310" s="1">
        <f>IF(ABS(VALUE(teraterm[[#This Row],[Column1]]))&lt;4096,VALUE(teraterm[[#This Row],[Column1]]),0)</f>
        <v>262</v>
      </c>
      <c r="F310" s="1">
        <f>teraterm[[#This Row],[V(V)]]^2</f>
        <v>606.16219192743301</v>
      </c>
    </row>
    <row r="311" spans="1:6" x14ac:dyDescent="0.25">
      <c r="A311" s="7">
        <v>256</v>
      </c>
      <c r="B311" s="2">
        <v>-105</v>
      </c>
      <c r="C311" s="1">
        <f>(teraterm[[#This Row],[Value(V)]]+$K$2)*$S$2</f>
        <v>24.0732421875</v>
      </c>
      <c r="D311" s="1">
        <f>(teraterm[[#This Row],[Column2]]-Q$4)*$S$3*1000</f>
        <v>-189.20898437499997</v>
      </c>
      <c r="E311" s="1">
        <f>IF(ABS(VALUE(teraterm[[#This Row],[Column1]]))&lt;4096,VALUE(teraterm[[#This Row],[Column1]]),0)</f>
        <v>256</v>
      </c>
      <c r="F311" s="1">
        <f>teraterm[[#This Row],[V(V)]]^2</f>
        <v>579.52098941802979</v>
      </c>
    </row>
    <row r="312" spans="1:6" x14ac:dyDescent="0.25">
      <c r="A312" s="7">
        <v>262</v>
      </c>
      <c r="B312" s="2">
        <v>-110</v>
      </c>
      <c r="C312" s="1">
        <f>(teraterm[[#This Row],[Value(V)]]+$K$2)*$S$2</f>
        <v>24.620361328125</v>
      </c>
      <c r="D312" s="1">
        <f>(teraterm[[#This Row],[Column2]]-Q$4)*$S$3*1000</f>
        <v>-191.24348958333331</v>
      </c>
      <c r="E312" s="1">
        <f>IF(ABS(VALUE(teraterm[[#This Row],[Column1]]))&lt;4096,VALUE(teraterm[[#This Row],[Column1]]),0)</f>
        <v>262</v>
      </c>
      <c r="F312" s="1">
        <f>teraterm[[#This Row],[V(V)]]^2</f>
        <v>606.16219192743301</v>
      </c>
    </row>
    <row r="313" spans="1:6" x14ac:dyDescent="0.25">
      <c r="A313" s="7">
        <v>285</v>
      </c>
      <c r="B313" s="2">
        <v>-100</v>
      </c>
      <c r="C313" s="1">
        <f>(teraterm[[#This Row],[Value(V)]]+$K$2)*$S$2</f>
        <v>26.7176513671875</v>
      </c>
      <c r="D313" s="1">
        <f>(teraterm[[#This Row],[Column2]]-Q$4)*$S$3*1000</f>
        <v>-187.17447916666666</v>
      </c>
      <c r="E313" s="1">
        <f>IF(ABS(VALUE(teraterm[[#This Row],[Column1]]))&lt;4096,VALUE(teraterm[[#This Row],[Column1]]),0)</f>
        <v>285</v>
      </c>
      <c r="F313" s="1">
        <f>teraterm[[#This Row],[V(V)]]^2</f>
        <v>713.83289457857609</v>
      </c>
    </row>
    <row r="314" spans="1:6" x14ac:dyDescent="0.25">
      <c r="A314" s="7">
        <v>375</v>
      </c>
      <c r="B314" s="2">
        <v>-59</v>
      </c>
      <c r="C314" s="1">
        <f>(teraterm[[#This Row],[Value(V)]]+$K$2)*$S$2</f>
        <v>34.9244384765625</v>
      </c>
      <c r="D314" s="1">
        <f>(teraterm[[#This Row],[Column2]]-Q$4)*$S$3*1000</f>
        <v>-170.49153645833331</v>
      </c>
      <c r="E314" s="1">
        <f>IF(ABS(VALUE(teraterm[[#This Row],[Column1]]))&lt;4096,VALUE(teraterm[[#This Row],[Column1]]),0)</f>
        <v>375</v>
      </c>
      <c r="F314" s="1">
        <f>teraterm[[#This Row],[V(V)]]^2</f>
        <v>1219.7164029031992</v>
      </c>
    </row>
    <row r="315" spans="1:6" x14ac:dyDescent="0.25">
      <c r="A315" s="7">
        <v>557</v>
      </c>
      <c r="B315" s="2">
        <v>-6</v>
      </c>
      <c r="C315" s="1">
        <f>(teraterm[[#This Row],[Value(V)]]+$K$2)*$S$2</f>
        <v>51.5203857421875</v>
      </c>
      <c r="D315" s="1">
        <f>(teraterm[[#This Row],[Column2]]-Q$4)*$S$3*1000</f>
        <v>-148.92578125</v>
      </c>
      <c r="E315" s="1">
        <f>IF(ABS(VALUE(teraterm[[#This Row],[Column1]]))&lt;4096,VALUE(teraterm[[#This Row],[Column1]]),0)</f>
        <v>557</v>
      </c>
      <c r="F315" s="1">
        <f>teraterm[[#This Row],[V(V)]]^2</f>
        <v>2654.350147023797</v>
      </c>
    </row>
    <row r="316" spans="1:6" x14ac:dyDescent="0.25">
      <c r="A316" s="7">
        <v>754</v>
      </c>
      <c r="B316" s="2">
        <v>47</v>
      </c>
      <c r="C316" s="1">
        <f>(teraterm[[#This Row],[Value(V)]]+$K$2)*$S$2</f>
        <v>69.484130859375</v>
      </c>
      <c r="D316" s="1">
        <f>(teraterm[[#This Row],[Column2]]-Q$4)*$S$3*1000</f>
        <v>-127.36002604166666</v>
      </c>
      <c r="E316" s="1">
        <f>IF(ABS(VALUE(teraterm[[#This Row],[Column1]]))&lt;4096,VALUE(teraterm[[#This Row],[Column1]]),0)</f>
        <v>754</v>
      </c>
      <c r="F316" s="1">
        <f>teraterm[[#This Row],[V(V)]]^2</f>
        <v>4828.0444412827492</v>
      </c>
    </row>
    <row r="317" spans="1:6" x14ac:dyDescent="0.25">
      <c r="A317" s="7">
        <v>961</v>
      </c>
      <c r="B317" s="2">
        <v>104</v>
      </c>
      <c r="C317" s="1">
        <f>(teraterm[[#This Row],[Value(V)]]+$K$2)*$S$2</f>
        <v>88.3597412109375</v>
      </c>
      <c r="D317" s="1">
        <f>(teraterm[[#This Row],[Column2]]-Q$4)*$S$3*1000</f>
        <v>-104.16666666666666</v>
      </c>
      <c r="E317" s="1">
        <f>IF(ABS(VALUE(teraterm[[#This Row],[Column1]]))&lt;4096,VALUE(teraterm[[#This Row],[Column1]]),0)</f>
        <v>961</v>
      </c>
      <c r="F317" s="1">
        <f>teraterm[[#This Row],[V(V)]]^2</f>
        <v>7807.4438668638468</v>
      </c>
    </row>
    <row r="318" spans="1:6" x14ac:dyDescent="0.25">
      <c r="A318" s="7">
        <v>1186</v>
      </c>
      <c r="B318" s="2">
        <v>171</v>
      </c>
      <c r="C318" s="1">
        <f>(teraterm[[#This Row],[Value(V)]]+$K$2)*$S$2</f>
        <v>108.876708984375</v>
      </c>
      <c r="D318" s="1">
        <f>(teraterm[[#This Row],[Column2]]-Q$4)*$S$3*1000</f>
        <v>-76.904296875</v>
      </c>
      <c r="E318" s="1">
        <f>IF(ABS(VALUE(teraterm[[#This Row],[Column1]]))&lt;4096,VALUE(teraterm[[#This Row],[Column1]]),0)</f>
        <v>1186</v>
      </c>
      <c r="F318" s="1">
        <f>teraterm[[#This Row],[V(V)]]^2</f>
        <v>11854.137759268284</v>
      </c>
    </row>
    <row r="319" spans="1:6" x14ac:dyDescent="0.25">
      <c r="A319" s="7">
        <v>1427</v>
      </c>
      <c r="B319" s="2">
        <v>213</v>
      </c>
      <c r="C319" s="1">
        <f>(teraterm[[#This Row],[Value(V)]]+$K$2)*$S$2</f>
        <v>130.8526611328125</v>
      </c>
      <c r="D319" s="1">
        <f>(teraterm[[#This Row],[Column2]]-Q$4)*$S$3*1000</f>
        <v>-59.814453124999993</v>
      </c>
      <c r="E319" s="1">
        <f>IF(ABS(VALUE(teraterm[[#This Row],[Column1]]))&lt;4096,VALUE(teraterm[[#This Row],[Column1]]),0)</f>
        <v>1427</v>
      </c>
      <c r="F319" s="1">
        <f>teraterm[[#This Row],[V(V)]]^2</f>
        <v>17122.418925538659</v>
      </c>
    </row>
    <row r="320" spans="1:6" x14ac:dyDescent="0.25">
      <c r="A320" s="7">
        <v>1678</v>
      </c>
      <c r="B320" s="2">
        <v>247</v>
      </c>
      <c r="C320" s="1">
        <f>(teraterm[[#This Row],[Value(V)]]+$K$2)*$S$2</f>
        <v>153.740478515625</v>
      </c>
      <c r="D320" s="1">
        <f>(teraterm[[#This Row],[Column2]]-Q$4)*$S$3*1000</f>
        <v>-45.979817708333329</v>
      </c>
      <c r="E320" s="1">
        <f>IF(ABS(VALUE(teraterm[[#This Row],[Column1]]))&lt;4096,VALUE(teraterm[[#This Row],[Column1]]),0)</f>
        <v>1678</v>
      </c>
      <c r="F320" s="1">
        <f>teraterm[[#This Row],[V(V)]]^2</f>
        <v>23636.134734213352</v>
      </c>
    </row>
    <row r="321" spans="1:6" x14ac:dyDescent="0.25">
      <c r="A321" s="7">
        <v>1950</v>
      </c>
      <c r="B321" s="2">
        <v>294</v>
      </c>
      <c r="C321" s="1">
        <f>(teraterm[[#This Row],[Value(V)]]+$K$2)*$S$2</f>
        <v>178.543212890625</v>
      </c>
      <c r="D321" s="1">
        <f>(teraterm[[#This Row],[Column2]]-Q$4)*$S$3*1000</f>
        <v>-26.855468749999996</v>
      </c>
      <c r="E321" s="1">
        <f>IF(ABS(VALUE(teraterm[[#This Row],[Column1]]))&lt;4096,VALUE(teraterm[[#This Row],[Column1]]),0)</f>
        <v>1950</v>
      </c>
      <c r="F321" s="1">
        <f>teraterm[[#This Row],[V(V)]]^2</f>
        <v>31877.678869307041</v>
      </c>
    </row>
    <row r="322" spans="1:6" x14ac:dyDescent="0.25">
      <c r="A322" s="7">
        <v>2232</v>
      </c>
      <c r="B322" s="2">
        <v>352</v>
      </c>
      <c r="C322" s="1">
        <f>(teraterm[[#This Row],[Value(V)]]+$K$2)*$S$2</f>
        <v>204.2578125</v>
      </c>
      <c r="D322" s="1">
        <f>(teraterm[[#This Row],[Column2]]-Q$4)*$S$3*1000</f>
        <v>-3.255208333333333</v>
      </c>
      <c r="E322" s="1">
        <f>IF(ABS(VALUE(teraterm[[#This Row],[Column1]]))&lt;4096,VALUE(teraterm[[#This Row],[Column1]]),0)</f>
        <v>2232</v>
      </c>
      <c r="F322" s="1">
        <f>teraterm[[#This Row],[V(V)]]^2</f>
        <v>41721.253967285156</v>
      </c>
    </row>
    <row r="323" spans="1:6" x14ac:dyDescent="0.25">
      <c r="A323" s="7">
        <v>2500</v>
      </c>
      <c r="B323" s="2">
        <v>381</v>
      </c>
      <c r="C323" s="1">
        <f>(teraterm[[#This Row],[Value(V)]]+$K$2)*$S$2</f>
        <v>228.69580078125</v>
      </c>
      <c r="D323" s="1">
        <f>(teraterm[[#This Row],[Column2]]-Q$4)*$S$3*1000</f>
        <v>8.544921875</v>
      </c>
      <c r="E323" s="1">
        <f>IF(ABS(VALUE(teraterm[[#This Row],[Column1]]))&lt;4096,VALUE(teraterm[[#This Row],[Column1]]),0)</f>
        <v>2500</v>
      </c>
      <c r="F323" s="1">
        <f>teraterm[[#This Row],[V(V)]]^2</f>
        <v>52301.769294977188</v>
      </c>
    </row>
    <row r="324" spans="1:6" x14ac:dyDescent="0.25">
      <c r="A324" s="7">
        <v>2744</v>
      </c>
      <c r="B324" s="2">
        <v>451</v>
      </c>
      <c r="C324" s="1">
        <f>(teraterm[[#This Row],[Value(V)]]+$K$2)*$S$2</f>
        <v>250.9453125</v>
      </c>
      <c r="D324" s="1">
        <f>(teraterm[[#This Row],[Column2]]-Q$4)*$S$3*1000</f>
        <v>37.027994791666664</v>
      </c>
      <c r="E324" s="1">
        <f>IF(ABS(VALUE(teraterm[[#This Row],[Column1]]))&lt;4096,VALUE(teraterm[[#This Row],[Column1]]),0)</f>
        <v>2744</v>
      </c>
      <c r="F324" s="1">
        <f>teraterm[[#This Row],[V(V)]]^2</f>
        <v>62973.549865722656</v>
      </c>
    </row>
    <row r="325" spans="1:6" x14ac:dyDescent="0.25">
      <c r="A325" s="7">
        <v>2980</v>
      </c>
      <c r="B325" s="2">
        <v>484</v>
      </c>
      <c r="C325" s="1">
        <f>(teraterm[[#This Row],[Value(V)]]+$K$2)*$S$2</f>
        <v>272.46533203125</v>
      </c>
      <c r="D325" s="1">
        <f>(teraterm[[#This Row],[Column2]]-Q$4)*$S$3*1000</f>
        <v>50.455729166666664</v>
      </c>
      <c r="E325" s="1">
        <f>IF(ABS(VALUE(teraterm[[#This Row],[Column1]]))&lt;4096,VALUE(teraterm[[#This Row],[Column1]]),0)</f>
        <v>2980</v>
      </c>
      <c r="F325" s="1">
        <f>teraterm[[#This Row],[V(V)]]^2</f>
        <v>74237.357158899307</v>
      </c>
    </row>
    <row r="326" spans="1:6" x14ac:dyDescent="0.25">
      <c r="A326" s="7">
        <v>3202</v>
      </c>
      <c r="B326" s="2">
        <v>530</v>
      </c>
      <c r="C326" s="1">
        <f>(teraterm[[#This Row],[Value(V)]]+$K$2)*$S$2</f>
        <v>292.708740234375</v>
      </c>
      <c r="D326" s="1">
        <f>(teraterm[[#This Row],[Column2]]-Q$4)*$S$3*1000</f>
        <v>69.173177083333329</v>
      </c>
      <c r="E326" s="1">
        <f>IF(ABS(VALUE(teraterm[[#This Row],[Column1]]))&lt;4096,VALUE(teraterm[[#This Row],[Column1]]),0)</f>
        <v>3202</v>
      </c>
      <c r="F326" s="1">
        <f>teraterm[[#This Row],[V(V)]]^2</f>
        <v>85678.406609594822</v>
      </c>
    </row>
    <row r="327" spans="1:6" x14ac:dyDescent="0.25">
      <c r="A327" s="7">
        <v>3410</v>
      </c>
      <c r="B327" s="2">
        <v>559</v>
      </c>
      <c r="C327" s="1">
        <f>(teraterm[[#This Row],[Value(V)]]+$K$2)*$S$2</f>
        <v>311.675537109375</v>
      </c>
      <c r="D327" s="1">
        <f>(teraterm[[#This Row],[Column2]]-Q$4)*$S$3*1000</f>
        <v>80.973307291666657</v>
      </c>
      <c r="E327" s="1">
        <f>IF(ABS(VALUE(teraterm[[#This Row],[Column1]]))&lt;4096,VALUE(teraterm[[#This Row],[Column1]]),0)</f>
        <v>3410</v>
      </c>
      <c r="F327" s="1">
        <f>teraterm[[#This Row],[V(V)]]^2</f>
        <v>97141.640432417393</v>
      </c>
    </row>
    <row r="328" spans="1:6" x14ac:dyDescent="0.25">
      <c r="A328" s="7">
        <v>3605</v>
      </c>
      <c r="B328" s="2">
        <v>589</v>
      </c>
      <c r="C328" s="1">
        <f>(teraterm[[#This Row],[Value(V)]]+$K$2)*$S$2</f>
        <v>329.4569091796875</v>
      </c>
      <c r="D328" s="1">
        <f>(teraterm[[#This Row],[Column2]]-Q$4)*$S$3*1000</f>
        <v>93.180338541666657</v>
      </c>
      <c r="E328" s="1">
        <f>IF(ABS(VALUE(teraterm[[#This Row],[Column1]]))&lt;4096,VALUE(teraterm[[#This Row],[Column1]]),0)</f>
        <v>3605</v>
      </c>
      <c r="F328" s="1">
        <f>teraterm[[#This Row],[V(V)]]^2</f>
        <v>108541.85500623286</v>
      </c>
    </row>
    <row r="329" spans="1:6" x14ac:dyDescent="0.25">
      <c r="A329" s="7">
        <v>3754</v>
      </c>
      <c r="B329" s="2">
        <v>618</v>
      </c>
      <c r="C329" s="1">
        <f>(teraterm[[#This Row],[Value(V)]]+$K$2)*$S$2</f>
        <v>343.043701171875</v>
      </c>
      <c r="D329" s="1">
        <f>(teraterm[[#This Row],[Column2]]-Q$4)*$S$3*1000</f>
        <v>104.98046874999999</v>
      </c>
      <c r="E329" s="1">
        <f>IF(ABS(VALUE(teraterm[[#This Row],[Column1]]))&lt;4096,VALUE(teraterm[[#This Row],[Column1]]),0)</f>
        <v>3754</v>
      </c>
      <c r="F329" s="1">
        <f>teraterm[[#This Row],[V(V)]]^2</f>
        <v>117678.98091369867</v>
      </c>
    </row>
    <row r="330" spans="1:6" x14ac:dyDescent="0.25">
      <c r="A330" s="7">
        <v>3876</v>
      </c>
      <c r="B330" s="2">
        <v>654</v>
      </c>
      <c r="C330" s="1">
        <f>(teraterm[[#This Row],[Value(V)]]+$K$2)*$S$2</f>
        <v>354.16845703125</v>
      </c>
      <c r="D330" s="1">
        <f>(teraterm[[#This Row],[Column2]]-Q$4)*$S$3*1000</f>
        <v>119.62890624999999</v>
      </c>
      <c r="E330" s="1">
        <f>IF(ABS(VALUE(teraterm[[#This Row],[Column1]]))&lt;4096,VALUE(teraterm[[#This Row],[Column1]]),0)</f>
        <v>3876</v>
      </c>
      <c r="F330" s="1">
        <f>teraterm[[#This Row],[V(V)]]^2</f>
        <v>125435.29595589638</v>
      </c>
    </row>
    <row r="331" spans="1:6" x14ac:dyDescent="0.25">
      <c r="A331" s="7">
        <v>3972</v>
      </c>
      <c r="B331" s="2">
        <v>655</v>
      </c>
      <c r="C331" s="1">
        <f>(teraterm[[#This Row],[Value(V)]]+$K$2)*$S$2</f>
        <v>362.92236328125</v>
      </c>
      <c r="D331" s="1">
        <f>(teraterm[[#This Row],[Column2]]-Q$4)*$S$3*1000</f>
        <v>120.03580729166666</v>
      </c>
      <c r="E331" s="1">
        <f>IF(ABS(VALUE(teraterm[[#This Row],[Column1]]))&lt;4096,VALUE(teraterm[[#This Row],[Column1]]),0)</f>
        <v>3972</v>
      </c>
      <c r="F331" s="1">
        <f>teraterm[[#This Row],[V(V)]]^2</f>
        <v>131712.6417696476</v>
      </c>
    </row>
    <row r="332" spans="1:6" x14ac:dyDescent="0.25">
      <c r="A332" s="7">
        <v>4002</v>
      </c>
      <c r="B332" s="2">
        <v>663</v>
      </c>
      <c r="C332" s="1">
        <f>(teraterm[[#This Row],[Value(V)]]+$K$2)*$S$2</f>
        <v>365.657958984375</v>
      </c>
      <c r="D332" s="1">
        <f>(teraterm[[#This Row],[Column2]]-Q$4)*$S$3*1000</f>
        <v>123.29101562499999</v>
      </c>
      <c r="E332" s="1">
        <f>IF(ABS(VALUE(teraterm[[#This Row],[Column1]]))&lt;4096,VALUE(teraterm[[#This Row],[Column1]]),0)</f>
        <v>4002</v>
      </c>
      <c r="F332" s="1">
        <f>teraterm[[#This Row],[V(V)]]^2</f>
        <v>133705.74296861887</v>
      </c>
    </row>
    <row r="333" spans="1:6" x14ac:dyDescent="0.25">
      <c r="A333" s="7">
        <v>4015</v>
      </c>
      <c r="B333" s="2">
        <v>652</v>
      </c>
      <c r="C333" s="1">
        <f>(teraterm[[#This Row],[Value(V)]]+$K$2)*$S$2</f>
        <v>366.8433837890625</v>
      </c>
      <c r="D333" s="1">
        <f>(teraterm[[#This Row],[Column2]]-Q$4)*$S$3*1000</f>
        <v>118.81510416666666</v>
      </c>
      <c r="E333" s="1">
        <f>IF(ABS(VALUE(teraterm[[#This Row],[Column1]]))&lt;4096,VALUE(teraterm[[#This Row],[Column1]]),0)</f>
        <v>4015</v>
      </c>
      <c r="F333" s="1">
        <f>teraterm[[#This Row],[V(V)]]^2</f>
        <v>134574.0682298094</v>
      </c>
    </row>
    <row r="334" spans="1:6" x14ac:dyDescent="0.25">
      <c r="A334" s="7">
        <v>4018</v>
      </c>
      <c r="B334" s="2">
        <v>663</v>
      </c>
      <c r="C334" s="1">
        <f>(teraterm[[#This Row],[Value(V)]]+$K$2)*$S$2</f>
        <v>367.116943359375</v>
      </c>
      <c r="D334" s="1">
        <f>(teraterm[[#This Row],[Column2]]-Q$4)*$S$3*1000</f>
        <v>123.29101562499999</v>
      </c>
      <c r="E334" s="1">
        <f>IF(ABS(VALUE(teraterm[[#This Row],[Column1]]))&lt;4096,VALUE(teraterm[[#This Row],[Column1]]),0)</f>
        <v>4018</v>
      </c>
      <c r="F334" s="1">
        <f>teraterm[[#This Row],[V(V)]]^2</f>
        <v>134774.85010153055</v>
      </c>
    </row>
    <row r="335" spans="1:6" x14ac:dyDescent="0.25">
      <c r="A335" s="7">
        <v>4010</v>
      </c>
      <c r="B335" s="2">
        <v>661</v>
      </c>
      <c r="C335" s="1">
        <f>(teraterm[[#This Row],[Value(V)]]+$K$2)*$S$2</f>
        <v>366.387451171875</v>
      </c>
      <c r="D335" s="1">
        <f>(teraterm[[#This Row],[Column2]]-Q$4)*$S$3*1000</f>
        <v>122.47721354166666</v>
      </c>
      <c r="E335" s="1">
        <f>IF(ABS(VALUE(teraterm[[#This Row],[Column1]]))&lt;4096,VALUE(teraterm[[#This Row],[Column1]]),0)</f>
        <v>4010</v>
      </c>
      <c r="F335" s="1">
        <f>teraterm[[#This Row],[V(V)]]^2</f>
        <v>134239.76437622309</v>
      </c>
    </row>
    <row r="336" spans="1:6" x14ac:dyDescent="0.25">
      <c r="A336" s="7">
        <v>3958</v>
      </c>
      <c r="B336" s="2">
        <v>653</v>
      </c>
      <c r="C336" s="1">
        <f>(teraterm[[#This Row],[Value(V)]]+$K$2)*$S$2</f>
        <v>361.645751953125</v>
      </c>
      <c r="D336" s="1">
        <f>(teraterm[[#This Row],[Column2]]-Q$4)*$S$3*1000</f>
        <v>119.22200520833333</v>
      </c>
      <c r="E336" s="1">
        <f>IF(ABS(VALUE(teraterm[[#This Row],[Column1]]))&lt;4096,VALUE(teraterm[[#This Row],[Column1]]),0)</f>
        <v>3958</v>
      </c>
      <c r="F336" s="1">
        <f>teraterm[[#This Row],[V(V)]]^2</f>
        <v>130787.64990574121</v>
      </c>
    </row>
    <row r="337" spans="1:6" x14ac:dyDescent="0.25">
      <c r="A337" s="7">
        <v>3814</v>
      </c>
      <c r="B337" s="2">
        <v>599</v>
      </c>
      <c r="C337" s="1">
        <f>(teraterm[[#This Row],[Value(V)]]+$K$2)*$S$2</f>
        <v>348.514892578125</v>
      </c>
      <c r="D337" s="1">
        <f>(teraterm[[#This Row],[Column2]]-Q$4)*$S$3*1000</f>
        <v>97.249348958333329</v>
      </c>
      <c r="E337" s="1">
        <f>IF(ABS(VALUE(teraterm[[#This Row],[Column1]]))&lt;4096,VALUE(teraterm[[#This Row],[Column1]]),0)</f>
        <v>3814</v>
      </c>
      <c r="F337" s="1">
        <f>teraterm[[#This Row],[V(V)]]^2</f>
        <v>121462.63034874201</v>
      </c>
    </row>
    <row r="338" spans="1:6" x14ac:dyDescent="0.25">
      <c r="A338" s="7">
        <v>3632</v>
      </c>
      <c r="B338" s="2">
        <v>592</v>
      </c>
      <c r="C338" s="1">
        <f>(teraterm[[#This Row],[Value(V)]]+$K$2)*$S$2</f>
        <v>331.9189453125</v>
      </c>
      <c r="D338" s="1">
        <f>(teraterm[[#This Row],[Column2]]-Q$4)*$S$3*1000</f>
        <v>94.401041666666657</v>
      </c>
      <c r="E338" s="1">
        <f>IF(ABS(VALUE(teraterm[[#This Row],[Column1]]))&lt;4096,VALUE(teraterm[[#This Row],[Column1]]),0)</f>
        <v>3632</v>
      </c>
      <c r="F338" s="1">
        <f>teraterm[[#This Row],[V(V)]]^2</f>
        <v>110170.18625736237</v>
      </c>
    </row>
    <row r="339" spans="1:6" x14ac:dyDescent="0.25">
      <c r="A339" s="7">
        <v>3438</v>
      </c>
      <c r="B339" s="2">
        <v>539</v>
      </c>
      <c r="C339" s="1">
        <f>(teraterm[[#This Row],[Value(V)]]+$K$2)*$S$2</f>
        <v>314.228759765625</v>
      </c>
      <c r="D339" s="1">
        <f>(teraterm[[#This Row],[Column2]]-Q$4)*$S$3*1000</f>
        <v>72.835286458333329</v>
      </c>
      <c r="E339" s="1">
        <f>IF(ABS(VALUE(teraterm[[#This Row],[Column1]]))&lt;4096,VALUE(teraterm[[#This Row],[Column1]]),0)</f>
        <v>3438</v>
      </c>
      <c r="F339" s="1">
        <f>teraterm[[#This Row],[V(V)]]^2</f>
        <v>98739.713463842869</v>
      </c>
    </row>
    <row r="340" spans="1:6" x14ac:dyDescent="0.25">
      <c r="A340" s="7">
        <v>3232</v>
      </c>
      <c r="B340" s="2">
        <v>508</v>
      </c>
      <c r="C340" s="1">
        <f>(teraterm[[#This Row],[Value(V)]]+$K$2)*$S$2</f>
        <v>295.4443359375</v>
      </c>
      <c r="D340" s="1">
        <f>(teraterm[[#This Row],[Column2]]-Q$4)*$S$3*1000</f>
        <v>60.221354166666664</v>
      </c>
      <c r="E340" s="1">
        <f>IF(ABS(VALUE(teraterm[[#This Row],[Column1]]))&lt;4096,VALUE(teraterm[[#This Row],[Column1]]),0)</f>
        <v>3232</v>
      </c>
      <c r="F340" s="1">
        <f>teraterm[[#This Row],[V(V)]]^2</f>
        <v>87287.355637550354</v>
      </c>
    </row>
    <row r="341" spans="1:6" x14ac:dyDescent="0.25">
      <c r="A341" s="7">
        <v>3000</v>
      </c>
      <c r="B341" s="2">
        <v>468</v>
      </c>
      <c r="C341" s="1">
        <f>(teraterm[[#This Row],[Value(V)]]+$K$2)*$S$2</f>
        <v>274.2890625</v>
      </c>
      <c r="D341" s="1">
        <f>(teraterm[[#This Row],[Column2]]-Q$4)*$S$3*1000</f>
        <v>43.945312499999993</v>
      </c>
      <c r="E341" s="1">
        <f>IF(ABS(VALUE(teraterm[[#This Row],[Column1]]))&lt;4096,VALUE(teraterm[[#This Row],[Column1]]),0)</f>
        <v>3000</v>
      </c>
      <c r="F341" s="1">
        <f>teraterm[[#This Row],[V(V)]]^2</f>
        <v>75234.489807128906</v>
      </c>
    </row>
    <row r="342" spans="1:6" x14ac:dyDescent="0.25">
      <c r="A342" s="7">
        <v>2759</v>
      </c>
      <c r="B342" s="2">
        <v>441</v>
      </c>
      <c r="C342" s="1">
        <f>(teraterm[[#This Row],[Value(V)]]+$K$2)*$S$2</f>
        <v>252.3131103515625</v>
      </c>
      <c r="D342" s="1">
        <f>(teraterm[[#This Row],[Column2]]-Q$4)*$S$3*1000</f>
        <v>32.958984375</v>
      </c>
      <c r="E342" s="1">
        <f>IF(ABS(VALUE(teraterm[[#This Row],[Column1]]))&lt;4096,VALUE(teraterm[[#This Row],[Column1]]),0)</f>
        <v>2759</v>
      </c>
      <c r="F342" s="1">
        <f>teraterm[[#This Row],[V(V)]]^2</f>
        <v>63661.905655279756</v>
      </c>
    </row>
    <row r="343" spans="1:6" x14ac:dyDescent="0.25">
      <c r="A343" s="7">
        <v>2496</v>
      </c>
      <c r="B343" s="2">
        <v>372</v>
      </c>
      <c r="C343" s="1">
        <f>(teraterm[[#This Row],[Value(V)]]+$K$2)*$S$2</f>
        <v>228.3310546875</v>
      </c>
      <c r="D343" s="1">
        <f>(teraterm[[#This Row],[Column2]]-Q$4)*$S$3*1000</f>
        <v>4.8828125</v>
      </c>
      <c r="E343" s="1">
        <f>IF(ABS(VALUE(teraterm[[#This Row],[Column1]]))&lt;4096,VALUE(teraterm[[#This Row],[Column1]]),0)</f>
        <v>2496</v>
      </c>
      <c r="F343" s="1">
        <f>teraterm[[#This Row],[V(V)]]^2</f>
        <v>52135.070534706116</v>
      </c>
    </row>
    <row r="344" spans="1:6" x14ac:dyDescent="0.25">
      <c r="A344" s="7">
        <v>2216</v>
      </c>
      <c r="B344" s="2">
        <v>322</v>
      </c>
      <c r="C344" s="1">
        <f>(teraterm[[#This Row],[Value(V)]]+$K$2)*$S$2</f>
        <v>202.798828125</v>
      </c>
      <c r="D344" s="1">
        <f>(teraterm[[#This Row],[Column2]]-Q$4)*$S$3*1000</f>
        <v>-15.462239583333332</v>
      </c>
      <c r="E344" s="1">
        <f>IF(ABS(VALUE(teraterm[[#This Row],[Column1]]))&lt;4096,VALUE(teraterm[[#This Row],[Column1]]),0)</f>
        <v>2216</v>
      </c>
      <c r="F344" s="1">
        <f>teraterm[[#This Row],[V(V)]]^2</f>
        <v>41127.364688873291</v>
      </c>
    </row>
    <row r="345" spans="1:6" x14ac:dyDescent="0.25">
      <c r="A345" s="7">
        <v>1932</v>
      </c>
      <c r="B345" s="2">
        <v>304</v>
      </c>
      <c r="C345" s="1">
        <f>(teraterm[[#This Row],[Value(V)]]+$K$2)*$S$2</f>
        <v>176.90185546875</v>
      </c>
      <c r="D345" s="1">
        <f>(teraterm[[#This Row],[Column2]]-Q$4)*$S$3*1000</f>
        <v>-22.786458333333332</v>
      </c>
      <c r="E345" s="1">
        <f>IF(ABS(VALUE(teraterm[[#This Row],[Column1]]))&lt;4096,VALUE(teraterm[[#This Row],[Column1]]),0)</f>
        <v>1932</v>
      </c>
      <c r="F345" s="1">
        <f>teraterm[[#This Row],[V(V)]]^2</f>
        <v>31294.266468286514</v>
      </c>
    </row>
    <row r="346" spans="1:6" x14ac:dyDescent="0.25">
      <c r="A346" s="7">
        <v>1677</v>
      </c>
      <c r="B346" s="2">
        <v>247</v>
      </c>
      <c r="C346" s="1">
        <f>(teraterm[[#This Row],[Value(V)]]+$K$2)*$S$2</f>
        <v>153.6492919921875</v>
      </c>
      <c r="D346" s="1">
        <f>(teraterm[[#This Row],[Column2]]-Q$4)*$S$3*1000</f>
        <v>-45.979817708333329</v>
      </c>
      <c r="E346" s="1">
        <f>IF(ABS(VALUE(teraterm[[#This Row],[Column1]]))&lt;4096,VALUE(teraterm[[#This Row],[Column1]]),0)</f>
        <v>1677</v>
      </c>
      <c r="F346" s="1">
        <f>teraterm[[#This Row],[V(V)]]^2</f>
        <v>23608.104929700494</v>
      </c>
    </row>
    <row r="347" spans="1:6" x14ac:dyDescent="0.25">
      <c r="A347" s="7">
        <v>1428</v>
      </c>
      <c r="B347" s="2">
        <v>206</v>
      </c>
      <c r="C347" s="1">
        <f>(teraterm[[#This Row],[Value(V)]]+$K$2)*$S$2</f>
        <v>130.94384765625</v>
      </c>
      <c r="D347" s="1">
        <f>(teraterm[[#This Row],[Column2]]-Q$4)*$S$3*1000</f>
        <v>-62.662760416666657</v>
      </c>
      <c r="E347" s="1">
        <f>IF(ABS(VALUE(teraterm[[#This Row],[Column1]]))&lt;4096,VALUE(teraterm[[#This Row],[Column1]]),0)</f>
        <v>1428</v>
      </c>
      <c r="F347" s="1">
        <f>teraterm[[#This Row],[V(V)]]^2</f>
        <v>17146.291239023209</v>
      </c>
    </row>
    <row r="348" spans="1:6" x14ac:dyDescent="0.25">
      <c r="A348" s="7">
        <v>1191</v>
      </c>
      <c r="B348" s="2">
        <v>129</v>
      </c>
      <c r="C348" s="1">
        <f>(teraterm[[#This Row],[Value(V)]]+$K$2)*$S$2</f>
        <v>109.3326416015625</v>
      </c>
      <c r="D348" s="1">
        <f>(teraterm[[#This Row],[Column2]]-Q$4)*$S$3*1000</f>
        <v>-93.994140624999986</v>
      </c>
      <c r="E348" s="1">
        <f>IF(ABS(VALUE(teraterm[[#This Row],[Column1]]))&lt;4096,VALUE(teraterm[[#This Row],[Column1]]),0)</f>
        <v>1191</v>
      </c>
      <c r="F348" s="1">
        <f>teraterm[[#This Row],[V(V)]]^2</f>
        <v>11953.626519575715</v>
      </c>
    </row>
    <row r="349" spans="1:6" x14ac:dyDescent="0.25">
      <c r="A349" s="7">
        <v>969</v>
      </c>
      <c r="B349" s="2">
        <v>83</v>
      </c>
      <c r="C349" s="1">
        <f>(teraterm[[#This Row],[Value(V)]]+$K$2)*$S$2</f>
        <v>89.0892333984375</v>
      </c>
      <c r="D349" s="1">
        <f>(teraterm[[#This Row],[Column2]]-Q$4)*$S$3*1000</f>
        <v>-112.71158854166666</v>
      </c>
      <c r="E349" s="1">
        <f>IF(ABS(VALUE(teraterm[[#This Row],[Column1]]))&lt;4096,VALUE(teraterm[[#This Row],[Column1]]),0)</f>
        <v>969</v>
      </c>
      <c r="F349" s="1">
        <f>teraterm[[#This Row],[V(V)]]^2</f>
        <v>7936.8915075212717</v>
      </c>
    </row>
    <row r="350" spans="1:6" x14ac:dyDescent="0.25">
      <c r="A350" s="7">
        <v>756</v>
      </c>
      <c r="B350" s="2">
        <v>34</v>
      </c>
      <c r="C350" s="1">
        <f>(teraterm[[#This Row],[Value(V)]]+$K$2)*$S$2</f>
        <v>69.66650390625</v>
      </c>
      <c r="D350" s="1">
        <f>(teraterm[[#This Row],[Column2]]-Q$4)*$S$3*1000</f>
        <v>-132.64973958333331</v>
      </c>
      <c r="E350" s="1">
        <f>IF(ABS(VALUE(teraterm[[#This Row],[Column1]]))&lt;4096,VALUE(teraterm[[#This Row],[Column1]]),0)</f>
        <v>756</v>
      </c>
      <c r="F350" s="1">
        <f>teraterm[[#This Row],[V(V)]]^2</f>
        <v>4853.4217665195465</v>
      </c>
    </row>
    <row r="351" spans="1:6" x14ac:dyDescent="0.25">
      <c r="A351" s="7">
        <v>578</v>
      </c>
      <c r="B351" s="2">
        <v>-20</v>
      </c>
      <c r="C351" s="1">
        <f>(teraterm[[#This Row],[Value(V)]]+$K$2)*$S$2</f>
        <v>53.435302734375</v>
      </c>
      <c r="D351" s="1">
        <f>(teraterm[[#This Row],[Column2]]-Q$4)*$S$3*1000</f>
        <v>-154.62239583333331</v>
      </c>
      <c r="E351" s="1">
        <f>IF(ABS(VALUE(teraterm[[#This Row],[Column1]]))&lt;4096,VALUE(teraterm[[#This Row],[Column1]]),0)</f>
        <v>578</v>
      </c>
      <c r="F351" s="1">
        <f>teraterm[[#This Row],[V(V)]]^2</f>
        <v>2855.3315783143044</v>
      </c>
    </row>
    <row r="352" spans="1:6" x14ac:dyDescent="0.25">
      <c r="A352" s="7">
        <v>441</v>
      </c>
      <c r="B352" s="2">
        <v>-68</v>
      </c>
      <c r="C352" s="1">
        <f>(teraterm[[#This Row],[Value(V)]]+$K$2)*$S$2</f>
        <v>40.9427490234375</v>
      </c>
      <c r="D352" s="1">
        <f>(teraterm[[#This Row],[Column2]]-Q$4)*$S$3*1000</f>
        <v>-174.15364583333331</v>
      </c>
      <c r="E352" s="1">
        <f>IF(ABS(VALUE(teraterm[[#This Row],[Column1]]))&lt;4096,VALUE(teraterm[[#This Row],[Column1]]),0)</f>
        <v>441</v>
      </c>
      <c r="F352" s="1">
        <f>teraterm[[#This Row],[V(V)]]^2</f>
        <v>1676.3086975961924</v>
      </c>
    </row>
    <row r="353" spans="1:6" x14ac:dyDescent="0.25">
      <c r="A353" s="7">
        <v>321</v>
      </c>
      <c r="B353" s="2">
        <v>-98</v>
      </c>
      <c r="C353" s="1">
        <f>(teraterm[[#This Row],[Value(V)]]+$K$2)*$S$2</f>
        <v>30.0003662109375</v>
      </c>
      <c r="D353" s="1">
        <f>(teraterm[[#This Row],[Column2]]-Q$4)*$S$3*1000</f>
        <v>-186.36067708333331</v>
      </c>
      <c r="E353" s="1">
        <f>IF(ABS(VALUE(teraterm[[#This Row],[Column1]]))&lt;4096,VALUE(teraterm[[#This Row],[Column1]]),0)</f>
        <v>321</v>
      </c>
      <c r="F353" s="1">
        <f>teraterm[[#This Row],[V(V)]]^2</f>
        <v>900.02197279036045</v>
      </c>
    </row>
    <row r="354" spans="1:6" x14ac:dyDescent="0.25">
      <c r="A354" s="7">
        <v>273</v>
      </c>
      <c r="B354" s="2">
        <v>-110</v>
      </c>
      <c r="C354" s="1">
        <f>(teraterm[[#This Row],[Value(V)]]+$K$2)*$S$2</f>
        <v>25.6234130859375</v>
      </c>
      <c r="D354" s="1">
        <f>(teraterm[[#This Row],[Column2]]-Q$4)*$S$3*1000</f>
        <v>-191.24348958333331</v>
      </c>
      <c r="E354" s="1">
        <f>IF(ABS(VALUE(teraterm[[#This Row],[Column1]]))&lt;4096,VALUE(teraterm[[#This Row],[Column1]]),0)</f>
        <v>273</v>
      </c>
      <c r="F354" s="1">
        <f>teraterm[[#This Row],[V(V)]]^2</f>
        <v>656.55929817259312</v>
      </c>
    </row>
    <row r="355" spans="1:6" x14ac:dyDescent="0.25">
      <c r="A355" s="7">
        <v>258</v>
      </c>
      <c r="B355" s="2">
        <v>-117</v>
      </c>
      <c r="C355" s="1">
        <f>(teraterm[[#This Row],[Value(V)]]+$K$2)*$S$2</f>
        <v>24.255615234375</v>
      </c>
      <c r="D355" s="1">
        <f>(teraterm[[#This Row],[Column2]]-Q$4)*$S$3*1000</f>
        <v>-194.09179687499997</v>
      </c>
      <c r="E355" s="1">
        <f>IF(ABS(VALUE(teraterm[[#This Row],[Column1]]))&lt;4096,VALUE(teraterm[[#This Row],[Column1]]),0)</f>
        <v>258</v>
      </c>
      <c r="F355" s="1">
        <f>teraterm[[#This Row],[V(V)]]^2</f>
        <v>588.33487039804459</v>
      </c>
    </row>
    <row r="356" spans="1:6" x14ac:dyDescent="0.25">
      <c r="A356" s="7">
        <v>255</v>
      </c>
      <c r="B356" s="2">
        <v>-107</v>
      </c>
      <c r="C356" s="1">
        <f>(teraterm[[#This Row],[Value(V)]]+$K$2)*$S$2</f>
        <v>23.9820556640625</v>
      </c>
      <c r="D356" s="1">
        <f>(teraterm[[#This Row],[Column2]]-Q$4)*$S$3*1000</f>
        <v>-190.02278645833331</v>
      </c>
      <c r="E356" s="1">
        <f>IF(ABS(VALUE(teraterm[[#This Row],[Column1]]))&lt;4096,VALUE(teraterm[[#This Row],[Column1]]),0)</f>
        <v>255</v>
      </c>
      <c r="F356" s="1">
        <f>teraterm[[#This Row],[V(V)]]^2</f>
        <v>575.13899387419224</v>
      </c>
    </row>
    <row r="357" spans="1:6" x14ac:dyDescent="0.25">
      <c r="A357" s="7">
        <v>266</v>
      </c>
      <c r="B357" s="2">
        <v>-95</v>
      </c>
      <c r="C357" s="1">
        <f>(teraterm[[#This Row],[Value(V)]]+$K$2)*$S$2</f>
        <v>24.985107421875</v>
      </c>
      <c r="D357" s="1">
        <f>(teraterm[[#This Row],[Column2]]-Q$4)*$S$3*1000</f>
        <v>-185.13997395833331</v>
      </c>
      <c r="E357" s="1">
        <f>IF(ABS(VALUE(teraterm[[#This Row],[Column1]]))&lt;4096,VALUE(teraterm[[#This Row],[Column1]]),0)</f>
        <v>266</v>
      </c>
      <c r="F357" s="1">
        <f>teraterm[[#This Row],[V(V)]]^2</f>
        <v>624.25559288263321</v>
      </c>
    </row>
    <row r="358" spans="1:6" x14ac:dyDescent="0.25">
      <c r="A358" s="7">
        <v>304</v>
      </c>
      <c r="B358" s="2">
        <v>-86</v>
      </c>
      <c r="C358" s="1">
        <f>(teraterm[[#This Row],[Value(V)]]+$K$2)*$S$2</f>
        <v>28.4501953125</v>
      </c>
      <c r="D358" s="1">
        <f>(teraterm[[#This Row],[Column2]]-Q$4)*$S$3*1000</f>
        <v>-181.47786458333331</v>
      </c>
      <c r="E358" s="1">
        <f>IF(ABS(VALUE(teraterm[[#This Row],[Column1]]))&lt;4096,VALUE(teraterm[[#This Row],[Column1]]),0)</f>
        <v>304</v>
      </c>
      <c r="F358" s="1">
        <f>teraterm[[#This Row],[V(V)]]^2</f>
        <v>809.41361331939697</v>
      </c>
    </row>
    <row r="359" spans="1:6" x14ac:dyDescent="0.25">
      <c r="A359" s="7">
        <v>427</v>
      </c>
      <c r="B359" s="2">
        <v>-46</v>
      </c>
      <c r="C359" s="1">
        <f>(teraterm[[#This Row],[Value(V)]]+$K$2)*$S$2</f>
        <v>39.6661376953125</v>
      </c>
      <c r="D359" s="1">
        <f>(teraterm[[#This Row],[Column2]]-Q$4)*$S$3*1000</f>
        <v>-165.20182291666666</v>
      </c>
      <c r="E359" s="1">
        <f>IF(ABS(VALUE(teraterm[[#This Row],[Column1]]))&lt;4096,VALUE(teraterm[[#This Row],[Column1]]),0)</f>
        <v>427</v>
      </c>
      <c r="F359" s="1">
        <f>teraterm[[#This Row],[V(V)]]^2</f>
        <v>1573.4024796634912</v>
      </c>
    </row>
    <row r="360" spans="1:6" x14ac:dyDescent="0.25">
      <c r="A360" s="7">
        <v>623</v>
      </c>
      <c r="B360" s="2">
        <v>31</v>
      </c>
      <c r="C360" s="1">
        <f>(teraterm[[#This Row],[Value(V)]]+$K$2)*$S$2</f>
        <v>57.5386962890625</v>
      </c>
      <c r="D360" s="1">
        <f>(teraterm[[#This Row],[Column2]]-Q$4)*$S$3*1000</f>
        <v>-133.87044270833331</v>
      </c>
      <c r="E360" s="1">
        <f>IF(ABS(VALUE(teraterm[[#This Row],[Column1]]))&lt;4096,VALUE(teraterm[[#This Row],[Column1]]),0)</f>
        <v>623</v>
      </c>
      <c r="F360" s="1">
        <f>teraterm[[#This Row],[V(V)]]^2</f>
        <v>3310.7015706449747</v>
      </c>
    </row>
    <row r="361" spans="1:6" x14ac:dyDescent="0.25">
      <c r="A361" s="7">
        <v>821</v>
      </c>
      <c r="B361" s="2">
        <v>90</v>
      </c>
      <c r="C361" s="1">
        <f>(teraterm[[#This Row],[Value(V)]]+$K$2)*$S$2</f>
        <v>75.5936279296875</v>
      </c>
      <c r="D361" s="1">
        <f>(teraterm[[#This Row],[Column2]]-Q$4)*$S$3*1000</f>
        <v>-109.86328124999999</v>
      </c>
      <c r="E361" s="1">
        <f>IF(ABS(VALUE(teraterm[[#This Row],[Column1]]))&lt;4096,VALUE(teraterm[[#This Row],[Column1]]),0)</f>
        <v>821</v>
      </c>
      <c r="F361" s="1">
        <f>teraterm[[#This Row],[V(V)]]^2</f>
        <v>5714.3965835720301</v>
      </c>
    </row>
    <row r="362" spans="1:6" x14ac:dyDescent="0.25">
      <c r="A362" s="7">
        <v>1033</v>
      </c>
      <c r="B362" s="2">
        <v>135</v>
      </c>
      <c r="C362" s="1">
        <f>(teraterm[[#This Row],[Value(V)]]+$K$2)*$S$2</f>
        <v>94.9251708984375</v>
      </c>
      <c r="D362" s="1">
        <f>(teraterm[[#This Row],[Column2]]-Q$4)*$S$3*1000</f>
        <v>-91.552734374999986</v>
      </c>
      <c r="E362" s="1">
        <f>IF(ABS(VALUE(teraterm[[#This Row],[Column1]]))&lt;4096,VALUE(teraterm[[#This Row],[Column1]]),0)</f>
        <v>1033</v>
      </c>
      <c r="F362" s="1">
        <f>teraterm[[#This Row],[V(V)]]^2</f>
        <v>9010.7880700975657</v>
      </c>
    </row>
    <row r="363" spans="1:6" x14ac:dyDescent="0.25">
      <c r="A363" s="7">
        <v>1269</v>
      </c>
      <c r="B363" s="2">
        <v>193</v>
      </c>
      <c r="C363" s="1">
        <f>(teraterm[[#This Row],[Value(V)]]+$K$2)*$S$2</f>
        <v>116.4451904296875</v>
      </c>
      <c r="D363" s="1">
        <f>(teraterm[[#This Row],[Column2]]-Q$4)*$S$3*1000</f>
        <v>-67.952473958333329</v>
      </c>
      <c r="E363" s="1">
        <f>IF(ABS(VALUE(teraterm[[#This Row],[Column1]]))&lt;4096,VALUE(teraterm[[#This Row],[Column1]]),0)</f>
        <v>1269</v>
      </c>
      <c r="F363" s="1">
        <f>teraterm[[#This Row],[V(V)]]^2</f>
        <v>13559.482374206185</v>
      </c>
    </row>
    <row r="364" spans="1:6" x14ac:dyDescent="0.25">
      <c r="A364" s="7">
        <v>1511</v>
      </c>
      <c r="B364" s="2">
        <v>236</v>
      </c>
      <c r="C364" s="1">
        <f>(teraterm[[#This Row],[Value(V)]]+$K$2)*$S$2</f>
        <v>138.5123291015625</v>
      </c>
      <c r="D364" s="1">
        <f>(teraterm[[#This Row],[Column2]]-Q$4)*$S$3*1000</f>
        <v>-50.455729166666664</v>
      </c>
      <c r="E364" s="1">
        <f>IF(ABS(VALUE(teraterm[[#This Row],[Column1]]))&lt;4096,VALUE(teraterm[[#This Row],[Column1]]),0)</f>
        <v>1511</v>
      </c>
      <c r="F364" s="1">
        <f>teraterm[[#This Row],[V(V)]]^2</f>
        <v>19185.665313139558</v>
      </c>
    </row>
    <row r="365" spans="1:6" x14ac:dyDescent="0.25">
      <c r="A365" s="7">
        <v>1768</v>
      </c>
      <c r="B365" s="2">
        <v>285</v>
      </c>
      <c r="C365" s="1">
        <f>(teraterm[[#This Row],[Value(V)]]+$K$2)*$S$2</f>
        <v>161.947265625</v>
      </c>
      <c r="D365" s="1">
        <f>(teraterm[[#This Row],[Column2]]-Q$4)*$S$3*1000</f>
        <v>-30.517578124999996</v>
      </c>
      <c r="E365" s="1">
        <f>IF(ABS(VALUE(teraterm[[#This Row],[Column1]]))&lt;4096,VALUE(teraterm[[#This Row],[Column1]]),0)</f>
        <v>1768</v>
      </c>
      <c r="F365" s="1">
        <f>teraterm[[#This Row],[V(V)]]^2</f>
        <v>26226.916843414307</v>
      </c>
    </row>
    <row r="366" spans="1:6" x14ac:dyDescent="0.25">
      <c r="A366" s="7">
        <v>2044</v>
      </c>
      <c r="B366" s="2">
        <v>336</v>
      </c>
      <c r="C366" s="1">
        <f>(teraterm[[#This Row],[Value(V)]]+$K$2)*$S$2</f>
        <v>187.11474609375</v>
      </c>
      <c r="D366" s="1">
        <f>(teraterm[[#This Row],[Column2]]-Q$4)*$S$3*1000</f>
        <v>-9.765625</v>
      </c>
      <c r="E366" s="1">
        <f>IF(ABS(VALUE(teraterm[[#This Row],[Column1]]))&lt;4096,VALUE(teraterm[[#This Row],[Column1]]),0)</f>
        <v>2044</v>
      </c>
      <c r="F366" s="1">
        <f>teraterm[[#This Row],[V(V)]]^2</f>
        <v>35011.928205728531</v>
      </c>
    </row>
    <row r="367" spans="1:6" x14ac:dyDescent="0.25">
      <c r="A367" s="7">
        <v>2326</v>
      </c>
      <c r="B367" s="2">
        <v>372</v>
      </c>
      <c r="C367" s="1">
        <f>(teraterm[[#This Row],[Value(V)]]+$K$2)*$S$2</f>
        <v>212.829345703125</v>
      </c>
      <c r="D367" s="1">
        <f>(teraterm[[#This Row],[Column2]]-Q$4)*$S$3*1000</f>
        <v>4.8828125</v>
      </c>
      <c r="E367" s="1">
        <f>IF(ABS(VALUE(teraterm[[#This Row],[Column1]]))&lt;4096,VALUE(teraterm[[#This Row],[Column1]]),0)</f>
        <v>2326</v>
      </c>
      <c r="F367" s="1">
        <f>teraterm[[#This Row],[V(V)]]^2</f>
        <v>45296.330392420292</v>
      </c>
    </row>
    <row r="368" spans="1:6" x14ac:dyDescent="0.25">
      <c r="A368" s="7">
        <v>2585</v>
      </c>
      <c r="B368" s="2">
        <v>410</v>
      </c>
      <c r="C368" s="1">
        <f>(teraterm[[#This Row],[Value(V)]]+$K$2)*$S$2</f>
        <v>236.4466552734375</v>
      </c>
      <c r="D368" s="1">
        <f>(teraterm[[#This Row],[Column2]]-Q$4)*$S$3*1000</f>
        <v>20.345052083333332</v>
      </c>
      <c r="E368" s="1">
        <f>IF(ABS(VALUE(teraterm[[#This Row],[Column1]]))&lt;4096,VALUE(teraterm[[#This Row],[Column1]]),0)</f>
        <v>2585</v>
      </c>
      <c r="F368" s="1">
        <f>teraterm[[#This Row],[V(V)]]^2</f>
        <v>55907.02078999579</v>
      </c>
    </row>
    <row r="369" spans="1:6" x14ac:dyDescent="0.25">
      <c r="A369" s="7">
        <v>2827</v>
      </c>
      <c r="B369" s="2">
        <v>461</v>
      </c>
      <c r="C369" s="1">
        <f>(teraterm[[#This Row],[Value(V)]]+$K$2)*$S$2</f>
        <v>258.5137939453125</v>
      </c>
      <c r="D369" s="1">
        <f>(teraterm[[#This Row],[Column2]]-Q$4)*$S$3*1000</f>
        <v>41.097005208333329</v>
      </c>
      <c r="E369" s="1">
        <f>IF(ABS(VALUE(teraterm[[#This Row],[Column1]]))&lt;4096,VALUE(teraterm[[#This Row],[Column1]]),0)</f>
        <v>2827</v>
      </c>
      <c r="F369" s="1">
        <f>teraterm[[#This Row],[V(V)]]^2</f>
        <v>66829.38165999949</v>
      </c>
    </row>
    <row r="370" spans="1:6" x14ac:dyDescent="0.25">
      <c r="A370" s="7">
        <v>3057</v>
      </c>
      <c r="B370" s="2">
        <v>487</v>
      </c>
      <c r="C370" s="1">
        <f>(teraterm[[#This Row],[Value(V)]]+$K$2)*$S$2</f>
        <v>279.4866943359375</v>
      </c>
      <c r="D370" s="1">
        <f>(teraterm[[#This Row],[Column2]]-Q$4)*$S$3*1000</f>
        <v>51.676432291666664</v>
      </c>
      <c r="E370" s="1">
        <f>IF(ABS(VALUE(teraterm[[#This Row],[Column1]]))&lt;4096,VALUE(teraterm[[#This Row],[Column1]]),0)</f>
        <v>3057</v>
      </c>
      <c r="F370" s="1">
        <f>teraterm[[#This Row],[V(V)]]^2</f>
        <v>78112.812310829759</v>
      </c>
    </row>
    <row r="371" spans="1:6" x14ac:dyDescent="0.25">
      <c r="A371" s="7">
        <v>3273</v>
      </c>
      <c r="B371" s="2">
        <v>543</v>
      </c>
      <c r="C371" s="1">
        <f>(teraterm[[#This Row],[Value(V)]]+$K$2)*$S$2</f>
        <v>299.1829833984375</v>
      </c>
      <c r="D371" s="1">
        <f>(teraterm[[#This Row],[Column2]]-Q$4)*$S$3*1000</f>
        <v>74.462890625</v>
      </c>
      <c r="E371" s="1">
        <f>IF(ABS(VALUE(teraterm[[#This Row],[Column1]]))&lt;4096,VALUE(teraterm[[#This Row],[Column1]]),0)</f>
        <v>3273</v>
      </c>
      <c r="F371" s="1">
        <f>teraterm[[#This Row],[V(V)]]^2</f>
        <v>89510.457555189729</v>
      </c>
    </row>
    <row r="372" spans="1:6" x14ac:dyDescent="0.25">
      <c r="A372" s="7">
        <v>3475</v>
      </c>
      <c r="B372" s="2">
        <v>581</v>
      </c>
      <c r="C372" s="1">
        <f>(teraterm[[#This Row],[Value(V)]]+$K$2)*$S$2</f>
        <v>317.6026611328125</v>
      </c>
      <c r="D372" s="1">
        <f>(teraterm[[#This Row],[Column2]]-Q$4)*$S$3*1000</f>
        <v>89.925130208333329</v>
      </c>
      <c r="E372" s="1">
        <f>IF(ABS(VALUE(teraterm[[#This Row],[Column1]]))&lt;4096,VALUE(teraterm[[#This Row],[Column1]]),0)</f>
        <v>3475</v>
      </c>
      <c r="F372" s="1">
        <f>teraterm[[#This Row],[V(V)]]^2</f>
        <v>100871.45035864413</v>
      </c>
    </row>
    <row r="373" spans="1:6" x14ac:dyDescent="0.25">
      <c r="A373" s="7">
        <v>3659</v>
      </c>
      <c r="B373" s="2">
        <v>604</v>
      </c>
      <c r="C373" s="1">
        <f>(teraterm[[#This Row],[Value(V)]]+$K$2)*$S$2</f>
        <v>334.3809814453125</v>
      </c>
      <c r="D373" s="1">
        <f>(teraterm[[#This Row],[Column2]]-Q$4)*$S$3*1000</f>
        <v>99.283854166666657</v>
      </c>
      <c r="E373" s="1">
        <f>IF(ABS(VALUE(teraterm[[#This Row],[Column1]]))&lt;4096,VALUE(teraterm[[#This Row],[Column1]]),0)</f>
        <v>3659</v>
      </c>
      <c r="F373" s="1">
        <f>teraterm[[#This Row],[V(V)]]^2</f>
        <v>111810.64075233042</v>
      </c>
    </row>
    <row r="374" spans="1:6" x14ac:dyDescent="0.25">
      <c r="A374" s="7">
        <v>3796</v>
      </c>
      <c r="B374" s="2">
        <v>632</v>
      </c>
      <c r="C374" s="1">
        <f>(teraterm[[#This Row],[Value(V)]]+$K$2)*$S$2</f>
        <v>346.87353515625</v>
      </c>
      <c r="D374" s="1">
        <f>(teraterm[[#This Row],[Column2]]-Q$4)*$S$3*1000</f>
        <v>110.67708333333333</v>
      </c>
      <c r="E374" s="1">
        <f>IF(ABS(VALUE(teraterm[[#This Row],[Column1]]))&lt;4096,VALUE(teraterm[[#This Row],[Column1]]),0)</f>
        <v>3796</v>
      </c>
      <c r="F374" s="1">
        <f>teraterm[[#This Row],[V(V)]]^2</f>
        <v>120321.2493917942</v>
      </c>
    </row>
    <row r="375" spans="1:6" x14ac:dyDescent="0.25">
      <c r="A375" s="7">
        <v>3916</v>
      </c>
      <c r="B375" s="2">
        <v>644</v>
      </c>
      <c r="C375" s="1">
        <f>(teraterm[[#This Row],[Value(V)]]+$K$2)*$S$2</f>
        <v>357.81591796875</v>
      </c>
      <c r="D375" s="1">
        <f>(teraterm[[#This Row],[Column2]]-Q$4)*$S$3*1000</f>
        <v>115.55989583333333</v>
      </c>
      <c r="E375" s="1">
        <f>IF(ABS(VALUE(teraterm[[#This Row],[Column1]]))&lt;4096,VALUE(teraterm[[#This Row],[Column1]]),0)</f>
        <v>3916</v>
      </c>
      <c r="F375" s="1">
        <f>teraterm[[#This Row],[V(V)]]^2</f>
        <v>128032.23115181923</v>
      </c>
    </row>
    <row r="376" spans="1:6" x14ac:dyDescent="0.25">
      <c r="A376" s="7">
        <v>3985</v>
      </c>
      <c r="B376" s="2">
        <v>666</v>
      </c>
      <c r="C376" s="1">
        <f>(teraterm[[#This Row],[Value(V)]]+$K$2)*$S$2</f>
        <v>364.1077880859375</v>
      </c>
      <c r="D376" s="1">
        <f>(teraterm[[#This Row],[Column2]]-Q$4)*$S$3*1000</f>
        <v>124.51171874999999</v>
      </c>
      <c r="E376" s="1">
        <f>IF(ABS(VALUE(teraterm[[#This Row],[Column1]]))&lt;4096,VALUE(teraterm[[#This Row],[Column1]]),0)</f>
        <v>3985</v>
      </c>
      <c r="F376" s="1">
        <f>teraterm[[#This Row],[V(V)]]^2</f>
        <v>132574.48134483397</v>
      </c>
    </row>
    <row r="377" spans="1:6" x14ac:dyDescent="0.25">
      <c r="A377" s="7">
        <v>4006</v>
      </c>
      <c r="B377" s="2">
        <v>653</v>
      </c>
      <c r="C377" s="1">
        <f>(teraterm[[#This Row],[Value(V)]]+$K$2)*$S$2</f>
        <v>366.022705078125</v>
      </c>
      <c r="D377" s="1">
        <f>(teraterm[[#This Row],[Column2]]-Q$4)*$S$3*1000</f>
        <v>119.22200520833333</v>
      </c>
      <c r="E377" s="1">
        <f>IF(ABS(VALUE(teraterm[[#This Row],[Column1]]))&lt;4096,VALUE(teraterm[[#This Row],[Column1]]),0)</f>
        <v>4006</v>
      </c>
      <c r="F377" s="1">
        <f>teraterm[[#This Row],[V(V)]]^2</f>
        <v>133972.62063270807</v>
      </c>
    </row>
    <row r="378" spans="1:6" x14ac:dyDescent="0.25">
      <c r="A378" s="7">
        <v>4017</v>
      </c>
      <c r="B378" s="2">
        <v>670</v>
      </c>
      <c r="C378" s="1">
        <f>(teraterm[[#This Row],[Value(V)]]+$K$2)*$S$2</f>
        <v>367.0257568359375</v>
      </c>
      <c r="D378" s="1">
        <f>(teraterm[[#This Row],[Column2]]-Q$4)*$S$3*1000</f>
        <v>126.13932291666666</v>
      </c>
      <c r="E378" s="1">
        <f>IF(ABS(VALUE(teraterm[[#This Row],[Column1]]))&lt;4096,VALUE(teraterm[[#This Row],[Column1]]),0)</f>
        <v>4017</v>
      </c>
      <c r="F378" s="1">
        <f>teraterm[[#This Row],[V(V)]]^2</f>
        <v>134707.90618099272</v>
      </c>
    </row>
    <row r="379" spans="1:6" x14ac:dyDescent="0.25">
      <c r="A379" s="7">
        <v>4016</v>
      </c>
      <c r="B379" s="2">
        <v>648</v>
      </c>
      <c r="C379" s="1">
        <f>(teraterm[[#This Row],[Value(V)]]+$K$2)*$S$2</f>
        <v>366.9345703125</v>
      </c>
      <c r="D379" s="1">
        <f>(teraterm[[#This Row],[Column2]]-Q$4)*$S$3*1000</f>
        <v>117.18749999999999</v>
      </c>
      <c r="E379" s="1">
        <f>IF(ABS(VALUE(teraterm[[#This Row],[Column1]]))&lt;4096,VALUE(teraterm[[#This Row],[Column1]]),0)</f>
        <v>4016</v>
      </c>
      <c r="F379" s="1">
        <f>teraterm[[#This Row],[V(V)]]^2</f>
        <v>134640.97889041901</v>
      </c>
    </row>
    <row r="380" spans="1:6" x14ac:dyDescent="0.25">
      <c r="A380" s="7">
        <v>4001</v>
      </c>
      <c r="B380" s="2">
        <v>665</v>
      </c>
      <c r="C380" s="1">
        <f>(teraterm[[#This Row],[Value(V)]]+$K$2)*$S$2</f>
        <v>365.5667724609375</v>
      </c>
      <c r="D380" s="1">
        <f>(teraterm[[#This Row],[Column2]]-Q$4)*$S$3*1000</f>
        <v>124.10481770833333</v>
      </c>
      <c r="E380" s="1">
        <f>IF(ABS(VALUE(teraterm[[#This Row],[Column1]]))&lt;4096,VALUE(teraterm[[#This Row],[Column1]]),0)</f>
        <v>4001</v>
      </c>
      <c r="F380" s="1">
        <f>teraterm[[#This Row],[V(V)]]^2</f>
        <v>133639.06512750685</v>
      </c>
    </row>
    <row r="381" spans="1:6" x14ac:dyDescent="0.25">
      <c r="A381" s="7">
        <v>3921</v>
      </c>
      <c r="B381" s="2">
        <v>628</v>
      </c>
      <c r="C381" s="1">
        <f>(teraterm[[#This Row],[Value(V)]]+$K$2)*$S$2</f>
        <v>358.2718505859375</v>
      </c>
      <c r="D381" s="1">
        <f>(teraterm[[#This Row],[Column2]]-Q$4)*$S$3*1000</f>
        <v>109.04947916666666</v>
      </c>
      <c r="E381" s="1">
        <f>IF(ABS(VALUE(teraterm[[#This Row],[Column1]]))&lt;4096,VALUE(teraterm[[#This Row],[Column1]]),0)</f>
        <v>3921</v>
      </c>
      <c r="F381" s="1">
        <f>teraterm[[#This Row],[V(V)]]^2</f>
        <v>128358.71892227232</v>
      </c>
    </row>
    <row r="382" spans="1:6" x14ac:dyDescent="0.25">
      <c r="A382" s="7">
        <v>3752</v>
      </c>
      <c r="B382" s="2">
        <v>595</v>
      </c>
      <c r="C382" s="1">
        <f>(teraterm[[#This Row],[Value(V)]]+$K$2)*$S$2</f>
        <v>342.861328125</v>
      </c>
      <c r="D382" s="1">
        <f>(teraterm[[#This Row],[Column2]]-Q$4)*$S$3*1000</f>
        <v>95.621744791666657</v>
      </c>
      <c r="E382" s="1">
        <f>IF(ABS(VALUE(teraterm[[#This Row],[Column1]]))&lt;4096,VALUE(teraterm[[#This Row],[Column1]]),0)</f>
        <v>3752</v>
      </c>
      <c r="F382" s="1">
        <f>teraterm[[#This Row],[V(V)]]^2</f>
        <v>117553.89032363892</v>
      </c>
    </row>
    <row r="383" spans="1:6" x14ac:dyDescent="0.25">
      <c r="A383" s="7">
        <v>3566</v>
      </c>
      <c r="B383" s="2">
        <v>574</v>
      </c>
      <c r="C383" s="1">
        <f>(teraterm[[#This Row],[Value(V)]]+$K$2)*$S$2</f>
        <v>325.900634765625</v>
      </c>
      <c r="D383" s="1">
        <f>(teraterm[[#This Row],[Column2]]-Q$4)*$S$3*1000</f>
        <v>87.076822916666657</v>
      </c>
      <c r="E383" s="1">
        <f>IF(ABS(VALUE(teraterm[[#This Row],[Column1]]))&lt;4096,VALUE(teraterm[[#This Row],[Column1]]),0)</f>
        <v>3566</v>
      </c>
      <c r="F383" s="1">
        <f>teraterm[[#This Row],[V(V)]]^2</f>
        <v>106211.2237406373</v>
      </c>
    </row>
    <row r="384" spans="1:6" x14ac:dyDescent="0.25">
      <c r="A384" s="7">
        <v>3368</v>
      </c>
      <c r="B384" s="2">
        <v>530</v>
      </c>
      <c r="C384" s="1">
        <f>(teraterm[[#This Row],[Value(V)]]+$K$2)*$S$2</f>
        <v>307.845703125</v>
      </c>
      <c r="D384" s="1">
        <f>(teraterm[[#This Row],[Column2]]-Q$4)*$S$3*1000</f>
        <v>69.173177083333329</v>
      </c>
      <c r="E384" s="1">
        <f>IF(ABS(VALUE(teraterm[[#This Row],[Column1]]))&lt;4096,VALUE(teraterm[[#This Row],[Column1]]),0)</f>
        <v>3368</v>
      </c>
      <c r="F384" s="1">
        <f>teraterm[[#This Row],[V(V)]]^2</f>
        <v>94768.976932525635</v>
      </c>
    </row>
    <row r="385" spans="1:6" x14ac:dyDescent="0.25">
      <c r="A385" s="7">
        <v>3154</v>
      </c>
      <c r="B385" s="2">
        <v>500</v>
      </c>
      <c r="C385" s="1">
        <f>(teraterm[[#This Row],[Value(V)]]+$K$2)*$S$2</f>
        <v>288.331787109375</v>
      </c>
      <c r="D385" s="1">
        <f>(teraterm[[#This Row],[Column2]]-Q$4)*$S$3*1000</f>
        <v>56.966145833333329</v>
      </c>
      <c r="E385" s="1">
        <f>IF(ABS(VALUE(teraterm[[#This Row],[Column1]]))&lt;4096,VALUE(teraterm[[#This Row],[Column1]]),0)</f>
        <v>3154</v>
      </c>
      <c r="F385" s="1">
        <f>teraterm[[#This Row],[V(V)]]^2</f>
        <v>83135.219457685947</v>
      </c>
    </row>
    <row r="386" spans="1:6" x14ac:dyDescent="0.25">
      <c r="A386" s="7">
        <v>2919</v>
      </c>
      <c r="B386" s="2">
        <v>467</v>
      </c>
      <c r="C386" s="1">
        <f>(teraterm[[#This Row],[Value(V)]]+$K$2)*$S$2</f>
        <v>266.9029541015625</v>
      </c>
      <c r="D386" s="1">
        <f>(teraterm[[#This Row],[Column2]]-Q$4)*$S$3*1000</f>
        <v>43.538411458333329</v>
      </c>
      <c r="E386" s="1">
        <f>IF(ABS(VALUE(teraterm[[#This Row],[Column1]]))&lt;4096,VALUE(teraterm[[#This Row],[Column1]]),0)</f>
        <v>2919</v>
      </c>
      <c r="F386" s="1">
        <f>teraterm[[#This Row],[V(V)]]^2</f>
        <v>71237.186908140779</v>
      </c>
    </row>
    <row r="387" spans="1:6" x14ac:dyDescent="0.25">
      <c r="A387" s="7">
        <v>2670</v>
      </c>
      <c r="B387" s="2">
        <v>402</v>
      </c>
      <c r="C387" s="1">
        <f>(teraterm[[#This Row],[Value(V)]]+$K$2)*$S$2</f>
        <v>244.197509765625</v>
      </c>
      <c r="D387" s="1">
        <f>(teraterm[[#This Row],[Column2]]-Q$4)*$S$3*1000</f>
        <v>17.08984375</v>
      </c>
      <c r="E387" s="1">
        <f>IF(ABS(VALUE(teraterm[[#This Row],[Column1]]))&lt;4096,VALUE(teraterm[[#This Row],[Column1]]),0)</f>
        <v>2670</v>
      </c>
      <c r="F387" s="1">
        <f>teraterm[[#This Row],[V(V)]]^2</f>
        <v>59632.423775732517</v>
      </c>
    </row>
    <row r="388" spans="1:6" x14ac:dyDescent="0.25">
      <c r="A388" s="7">
        <v>2398</v>
      </c>
      <c r="B388" s="2">
        <v>356</v>
      </c>
      <c r="C388" s="1">
        <f>(teraterm[[#This Row],[Value(V)]]+$K$2)*$S$2</f>
        <v>219.394775390625</v>
      </c>
      <c r="D388" s="1">
        <f>(teraterm[[#This Row],[Column2]]-Q$4)*$S$3*1000</f>
        <v>-1.6276041666666665</v>
      </c>
      <c r="E388" s="1">
        <f>IF(ABS(VALUE(teraterm[[#This Row],[Column1]]))&lt;4096,VALUE(teraterm[[#This Row],[Column1]]),0)</f>
        <v>2398</v>
      </c>
      <c r="F388" s="1">
        <f>teraterm[[#This Row],[V(V)]]^2</f>
        <v>48134.067468702793</v>
      </c>
    </row>
    <row r="389" spans="1:6" x14ac:dyDescent="0.25">
      <c r="A389" s="7">
        <v>2117</v>
      </c>
      <c r="B389" s="2">
        <v>316</v>
      </c>
      <c r="C389" s="1">
        <f>(teraterm[[#This Row],[Value(V)]]+$K$2)*$S$2</f>
        <v>193.7713623046875</v>
      </c>
      <c r="D389" s="1">
        <f>(teraterm[[#This Row],[Column2]]-Q$4)*$S$3*1000</f>
        <v>-17.903645833333332</v>
      </c>
      <c r="E389" s="1">
        <f>IF(ABS(VALUE(teraterm[[#This Row],[Column1]]))&lt;4096,VALUE(teraterm[[#This Row],[Column1]]),0)</f>
        <v>2117</v>
      </c>
      <c r="F389" s="1">
        <f>teraterm[[#This Row],[V(V)]]^2</f>
        <v>37547.340849414468</v>
      </c>
    </row>
    <row r="390" spans="1:6" x14ac:dyDescent="0.25">
      <c r="A390" s="7">
        <v>1843</v>
      </c>
      <c r="B390" s="2">
        <v>278</v>
      </c>
      <c r="C390" s="1">
        <f>(teraterm[[#This Row],[Value(V)]]+$K$2)*$S$2</f>
        <v>168.7862548828125</v>
      </c>
      <c r="D390" s="1">
        <f>(teraterm[[#This Row],[Column2]]-Q$4)*$S$3*1000</f>
        <v>-33.365885416666664</v>
      </c>
      <c r="E390" s="1">
        <f>IF(ABS(VALUE(teraterm[[#This Row],[Column1]]))&lt;4096,VALUE(teraterm[[#This Row],[Column1]]),0)</f>
        <v>1843</v>
      </c>
      <c r="F390" s="1">
        <f>teraterm[[#This Row],[V(V)]]^2</f>
        <v>28488.799837365746</v>
      </c>
    </row>
    <row r="391" spans="1:6" x14ac:dyDescent="0.25">
      <c r="A391" s="7">
        <v>1588</v>
      </c>
      <c r="B391" s="2">
        <v>230</v>
      </c>
      <c r="C391" s="1">
        <f>(teraterm[[#This Row],[Value(V)]]+$K$2)*$S$2</f>
        <v>145.53369140625</v>
      </c>
      <c r="D391" s="1">
        <f>(teraterm[[#This Row],[Column2]]-Q$4)*$S$3*1000</f>
        <v>-52.897135416666664</v>
      </c>
      <c r="E391" s="1">
        <f>IF(ABS(VALUE(teraterm[[#This Row],[Column1]]))&lt;4096,VALUE(teraterm[[#This Row],[Column1]]),0)</f>
        <v>1588</v>
      </c>
      <c r="F391" s="1">
        <f>teraterm[[#This Row],[V(V)]]^2</f>
        <v>21180.055334329605</v>
      </c>
    </row>
    <row r="392" spans="1:6" x14ac:dyDescent="0.25">
      <c r="A392" s="7">
        <v>1343</v>
      </c>
      <c r="B392" s="2">
        <v>212</v>
      </c>
      <c r="C392" s="1">
        <f>(teraterm[[#This Row],[Value(V)]]+$K$2)*$S$2</f>
        <v>123.1929931640625</v>
      </c>
      <c r="D392" s="1">
        <f>(teraterm[[#This Row],[Column2]]-Q$4)*$S$3*1000</f>
        <v>-60.221354166666664</v>
      </c>
      <c r="E392" s="1">
        <f>IF(ABS(VALUE(teraterm[[#This Row],[Column1]]))&lt;4096,VALUE(teraterm[[#This Row],[Column1]]),0)</f>
        <v>1343</v>
      </c>
      <c r="F392" s="1">
        <f>teraterm[[#This Row],[V(V)]]^2</f>
        <v>15176.51356472075</v>
      </c>
    </row>
    <row r="393" spans="1:6" x14ac:dyDescent="0.25">
      <c r="A393" s="7">
        <v>1114</v>
      </c>
      <c r="B393" s="2">
        <v>136</v>
      </c>
      <c r="C393" s="1">
        <f>(teraterm[[#This Row],[Value(V)]]+$K$2)*$S$2</f>
        <v>102.311279296875</v>
      </c>
      <c r="D393" s="1">
        <f>(teraterm[[#This Row],[Column2]]-Q$4)*$S$3*1000</f>
        <v>-91.145833333333329</v>
      </c>
      <c r="E393" s="1">
        <f>IF(ABS(VALUE(teraterm[[#This Row],[Column1]]))&lt;4096,VALUE(teraterm[[#This Row],[Column1]]),0)</f>
        <v>1114</v>
      </c>
      <c r="F393" s="1">
        <f>teraterm[[#This Row],[V(V)]]^2</f>
        <v>10467.597871363163</v>
      </c>
    </row>
    <row r="394" spans="1:6" x14ac:dyDescent="0.25">
      <c r="A394" s="7">
        <v>895</v>
      </c>
      <c r="B394" s="2">
        <v>68</v>
      </c>
      <c r="C394" s="1">
        <f>(teraterm[[#This Row],[Value(V)]]+$K$2)*$S$2</f>
        <v>82.3414306640625</v>
      </c>
      <c r="D394" s="1">
        <f>(teraterm[[#This Row],[Column2]]-Q$4)*$S$3*1000</f>
        <v>-118.81510416666666</v>
      </c>
      <c r="E394" s="1">
        <f>IF(ABS(VALUE(teraterm[[#This Row],[Column1]]))&lt;4096,VALUE(teraterm[[#This Row],[Column1]]),0)</f>
        <v>895</v>
      </c>
      <c r="F394" s="1">
        <f>teraterm[[#This Row],[V(V)]]^2</f>
        <v>6780.1112038046122</v>
      </c>
    </row>
    <row r="395" spans="1:6" x14ac:dyDescent="0.25">
      <c r="A395" s="7">
        <v>687</v>
      </c>
      <c r="B395" s="2">
        <v>7</v>
      </c>
      <c r="C395" s="1">
        <f>(teraterm[[#This Row],[Value(V)]]+$K$2)*$S$2</f>
        <v>63.3746337890625</v>
      </c>
      <c r="D395" s="1">
        <f>(teraterm[[#This Row],[Column2]]-Q$4)*$S$3*1000</f>
        <v>-143.63606770833331</v>
      </c>
      <c r="E395" s="1">
        <f>IF(ABS(VALUE(teraterm[[#This Row],[Column1]]))&lt;4096,VALUE(teraterm[[#This Row],[Column1]]),0)</f>
        <v>687</v>
      </c>
      <c r="F395" s="1">
        <f>teraterm[[#This Row],[V(V)]]^2</f>
        <v>4016.3442078977823</v>
      </c>
    </row>
    <row r="396" spans="1:6" x14ac:dyDescent="0.25">
      <c r="A396" s="7">
        <v>526</v>
      </c>
      <c r="B396" s="2">
        <v>-29</v>
      </c>
      <c r="C396" s="1">
        <f>(teraterm[[#This Row],[Value(V)]]+$K$2)*$S$2</f>
        <v>48.693603515625</v>
      </c>
      <c r="D396" s="1">
        <f>(teraterm[[#This Row],[Column2]]-Q$4)*$S$3*1000</f>
        <v>-158.28450520833331</v>
      </c>
      <c r="E396" s="1">
        <f>IF(ABS(VALUE(teraterm[[#This Row],[Column1]]))&lt;4096,VALUE(teraterm[[#This Row],[Column1]]),0)</f>
        <v>526</v>
      </c>
      <c r="F396" s="1">
        <f>teraterm[[#This Row],[V(V)]]^2</f>
        <v>2371.0670233368874</v>
      </c>
    </row>
    <row r="397" spans="1:6" x14ac:dyDescent="0.25">
      <c r="A397" s="7">
        <v>396</v>
      </c>
      <c r="B397" s="2">
        <v>-82</v>
      </c>
      <c r="C397" s="1">
        <f>(teraterm[[#This Row],[Value(V)]]+$K$2)*$S$2</f>
        <v>36.83935546875</v>
      </c>
      <c r="D397" s="1">
        <f>(teraterm[[#This Row],[Column2]]-Q$4)*$S$3*1000</f>
        <v>-179.85026041666666</v>
      </c>
      <c r="E397" s="1">
        <f>IF(ABS(VALUE(teraterm[[#This Row],[Column1]]))&lt;4096,VALUE(teraterm[[#This Row],[Column1]]),0)</f>
        <v>396</v>
      </c>
      <c r="F397" s="1">
        <f>teraterm[[#This Row],[V(V)]]^2</f>
        <v>1357.1381113529205</v>
      </c>
    </row>
    <row r="398" spans="1:6" x14ac:dyDescent="0.25">
      <c r="A398" s="7">
        <v>294</v>
      </c>
      <c r="B398" s="2">
        <v>-100</v>
      </c>
      <c r="C398" s="1">
        <f>(teraterm[[#This Row],[Value(V)]]+$K$2)*$S$2</f>
        <v>27.538330078125</v>
      </c>
      <c r="D398" s="1">
        <f>(teraterm[[#This Row],[Column2]]-Q$4)*$S$3*1000</f>
        <v>-187.17447916666666</v>
      </c>
      <c r="E398" s="1">
        <f>IF(ABS(VALUE(teraterm[[#This Row],[Column1]]))&lt;4096,VALUE(teraterm[[#This Row],[Column1]]),0)</f>
        <v>294</v>
      </c>
      <c r="F398" s="1">
        <f>teraterm[[#This Row],[V(V)]]^2</f>
        <v>758.35962349176407</v>
      </c>
    </row>
    <row r="399" spans="1:6" x14ac:dyDescent="0.25">
      <c r="A399" s="7">
        <v>265</v>
      </c>
      <c r="B399" s="2">
        <v>-120</v>
      </c>
      <c r="C399" s="1">
        <f>(teraterm[[#This Row],[Value(V)]]+$K$2)*$S$2</f>
        <v>24.8939208984375</v>
      </c>
      <c r="D399" s="1">
        <f>(teraterm[[#This Row],[Column2]]-Q$4)*$S$3*1000</f>
        <v>-195.31249999999997</v>
      </c>
      <c r="E399" s="1">
        <f>IF(ABS(VALUE(teraterm[[#This Row],[Column1]]))&lt;4096,VALUE(teraterm[[#This Row],[Column1]]),0)</f>
        <v>265</v>
      </c>
      <c r="F399" s="1">
        <f>teraterm[[#This Row],[V(V)]]^2</f>
        <v>619.70729769766331</v>
      </c>
    </row>
    <row r="400" spans="1:6" x14ac:dyDescent="0.25">
      <c r="A400" s="7">
        <v>255</v>
      </c>
      <c r="B400" s="2">
        <v>-110</v>
      </c>
      <c r="C400" s="1">
        <f>(teraterm[[#This Row],[Value(V)]]+$K$2)*$S$2</f>
        <v>23.9820556640625</v>
      </c>
      <c r="D400" s="1">
        <f>(teraterm[[#This Row],[Column2]]-Q$4)*$S$3*1000</f>
        <v>-191.24348958333331</v>
      </c>
      <c r="E400" s="1">
        <f>IF(ABS(VALUE(teraterm[[#This Row],[Column1]]))&lt;4096,VALUE(teraterm[[#This Row],[Column1]]),0)</f>
        <v>255</v>
      </c>
      <c r="F400" s="1">
        <f>teraterm[[#This Row],[V(V)]]^2</f>
        <v>575.13899387419224</v>
      </c>
    </row>
    <row r="401" spans="1:6" x14ac:dyDescent="0.25">
      <c r="A401" s="7">
        <v>256</v>
      </c>
      <c r="B401" s="2">
        <v>-114</v>
      </c>
      <c r="C401" s="1">
        <f>(teraterm[[#This Row],[Value(V)]]+$K$2)*$S$2</f>
        <v>24.0732421875</v>
      </c>
      <c r="D401" s="1">
        <f>(teraterm[[#This Row],[Column2]]-Q$4)*$S$3*1000</f>
        <v>-192.87109374999997</v>
      </c>
      <c r="E401" s="1">
        <f>IF(ABS(VALUE(teraterm[[#This Row],[Column1]]))&lt;4096,VALUE(teraterm[[#This Row],[Column1]]),0)</f>
        <v>256</v>
      </c>
      <c r="F401" s="1">
        <f>teraterm[[#This Row],[V(V)]]^2</f>
        <v>579.52098941802979</v>
      </c>
    </row>
    <row r="402" spans="1:6" x14ac:dyDescent="0.25">
      <c r="A402" s="7">
        <v>271</v>
      </c>
      <c r="B402" s="2">
        <v>-101</v>
      </c>
      <c r="C402" s="1">
        <f>(teraterm[[#This Row],[Value(V)]]+$K$2)*$S$2</f>
        <v>25.4410400390625</v>
      </c>
      <c r="D402" s="1">
        <f>(teraterm[[#This Row],[Column2]]-Q$4)*$S$3*1000</f>
        <v>-187.58138020833331</v>
      </c>
      <c r="E402" s="1">
        <f>IF(ABS(VALUE(teraterm[[#This Row],[Column1]]))&lt;4096,VALUE(teraterm[[#This Row],[Column1]]),0)</f>
        <v>271</v>
      </c>
      <c r="F402" s="1">
        <f>teraterm[[#This Row],[V(V)]]^2</f>
        <v>647.24651826918125</v>
      </c>
    </row>
    <row r="403" spans="1:6" x14ac:dyDescent="0.25">
      <c r="A403" s="7">
        <v>336</v>
      </c>
      <c r="B403" s="2">
        <v>-59</v>
      </c>
      <c r="C403" s="1">
        <f>(teraterm[[#This Row],[Value(V)]]+$K$2)*$S$2</f>
        <v>31.3681640625</v>
      </c>
      <c r="D403" s="1">
        <f>(teraterm[[#This Row],[Column2]]-Q$4)*$S$3*1000</f>
        <v>-170.49153645833331</v>
      </c>
      <c r="E403" s="1">
        <f>IF(ABS(VALUE(teraterm[[#This Row],[Column1]]))&lt;4096,VALUE(teraterm[[#This Row],[Column1]]),0)</f>
        <v>336</v>
      </c>
      <c r="F403" s="1">
        <f>teraterm[[#This Row],[V(V)]]^2</f>
        <v>983.9617166519165</v>
      </c>
    </row>
    <row r="404" spans="1:6" x14ac:dyDescent="0.25">
      <c r="A404" s="7">
        <v>494</v>
      </c>
      <c r="B404" s="2">
        <v>-11</v>
      </c>
      <c r="C404" s="1">
        <f>(teraterm[[#This Row],[Value(V)]]+$K$2)*$S$2</f>
        <v>45.775634765625</v>
      </c>
      <c r="D404" s="1">
        <f>(teraterm[[#This Row],[Column2]]-Q$4)*$S$3*1000</f>
        <v>-150.96028645833331</v>
      </c>
      <c r="E404" s="1">
        <f>IF(ABS(VALUE(teraterm[[#This Row],[Column1]]))&lt;4096,VALUE(teraterm[[#This Row],[Column1]]),0)</f>
        <v>494</v>
      </c>
      <c r="F404" s="1">
        <f>teraterm[[#This Row],[V(V)]]^2</f>
        <v>2095.4087381958961</v>
      </c>
    </row>
    <row r="405" spans="1:6" x14ac:dyDescent="0.25">
      <c r="A405" s="7">
        <v>689</v>
      </c>
      <c r="B405" s="2">
        <v>37</v>
      </c>
      <c r="C405" s="1">
        <f>(teraterm[[#This Row],[Value(V)]]+$K$2)*$S$2</f>
        <v>63.5570068359375</v>
      </c>
      <c r="D405" s="1">
        <f>(teraterm[[#This Row],[Column2]]-Q$4)*$S$3*1000</f>
        <v>-131.42903645833331</v>
      </c>
      <c r="E405" s="1">
        <f>IF(ABS(VALUE(teraterm[[#This Row],[Column1]]))&lt;4096,VALUE(teraterm[[#This Row],[Column1]]),0)</f>
        <v>689</v>
      </c>
      <c r="F405" s="1">
        <f>teraterm[[#This Row],[V(V)]]^2</f>
        <v>4039.4931179434061</v>
      </c>
    </row>
    <row r="406" spans="1:6" x14ac:dyDescent="0.25">
      <c r="A406" s="7">
        <v>893</v>
      </c>
      <c r="B406" s="2">
        <v>86</v>
      </c>
      <c r="C406" s="1">
        <f>(teraterm[[#This Row],[Value(V)]]+$K$2)*$S$2</f>
        <v>82.1590576171875</v>
      </c>
      <c r="D406" s="1">
        <f>(teraterm[[#This Row],[Column2]]-Q$4)*$S$3*1000</f>
        <v>-111.49088541666666</v>
      </c>
      <c r="E406" s="1">
        <f>IF(ABS(VALUE(teraterm[[#This Row],[Column1]]))&lt;4096,VALUE(teraterm[[#This Row],[Column1]]),0)</f>
        <v>893</v>
      </c>
      <c r="F406" s="1">
        <f>teraterm[[#This Row],[V(V)]]^2</f>
        <v>6750.1107485443354</v>
      </c>
    </row>
    <row r="407" spans="1:6" x14ac:dyDescent="0.25">
      <c r="A407" s="7">
        <v>1110</v>
      </c>
      <c r="B407" s="2">
        <v>158</v>
      </c>
      <c r="C407" s="1">
        <f>(teraterm[[#This Row],[Value(V)]]+$K$2)*$S$2</f>
        <v>101.946533203125</v>
      </c>
      <c r="D407" s="1">
        <f>(teraterm[[#This Row],[Column2]]-Q$4)*$S$3*1000</f>
        <v>-82.194010416666657</v>
      </c>
      <c r="E407" s="1">
        <f>IF(ABS(VALUE(teraterm[[#This Row],[Column1]]))&lt;4096,VALUE(teraterm[[#This Row],[Column1]]),0)</f>
        <v>1110</v>
      </c>
      <c r="F407" s="1">
        <f>teraterm[[#This Row],[V(V)]]^2</f>
        <v>10393.095632135868</v>
      </c>
    </row>
    <row r="408" spans="1:6" x14ac:dyDescent="0.25">
      <c r="A408" s="7">
        <v>1350</v>
      </c>
      <c r="B408" s="2">
        <v>206</v>
      </c>
      <c r="C408" s="1">
        <f>(teraterm[[#This Row],[Value(V)]]+$K$2)*$S$2</f>
        <v>123.831298828125</v>
      </c>
      <c r="D408" s="1">
        <f>(teraterm[[#This Row],[Column2]]-Q$4)*$S$3*1000</f>
        <v>-62.662760416666657</v>
      </c>
      <c r="E408" s="1">
        <f>IF(ABS(VALUE(teraterm[[#This Row],[Column1]]))&lt;4096,VALUE(teraterm[[#This Row],[Column1]]),0)</f>
        <v>1350</v>
      </c>
      <c r="F408" s="1">
        <f>teraterm[[#This Row],[V(V)]]^2</f>
        <v>15334.190569460392</v>
      </c>
    </row>
    <row r="409" spans="1:6" x14ac:dyDescent="0.25">
      <c r="A409" s="7">
        <v>1595</v>
      </c>
      <c r="B409" s="2">
        <v>240</v>
      </c>
      <c r="C409" s="1">
        <f>(teraterm[[#This Row],[Value(V)]]+$K$2)*$S$2</f>
        <v>146.1719970703125</v>
      </c>
      <c r="D409" s="1">
        <f>(teraterm[[#This Row],[Column2]]-Q$4)*$S$3*1000</f>
        <v>-48.828124999999993</v>
      </c>
      <c r="E409" s="1">
        <f>IF(ABS(VALUE(teraterm[[#This Row],[Column1]]))&lt;4096,VALUE(teraterm[[#This Row],[Column1]]),0)</f>
        <v>1595</v>
      </c>
      <c r="F409" s="1">
        <f>teraterm[[#This Row],[V(V)]]^2</f>
        <v>21366.252727523446</v>
      </c>
    </row>
    <row r="410" spans="1:6" x14ac:dyDescent="0.25">
      <c r="A410" s="7">
        <v>1862</v>
      </c>
      <c r="B410" s="2">
        <v>289</v>
      </c>
      <c r="C410" s="1">
        <f>(teraterm[[#This Row],[Value(V)]]+$K$2)*$S$2</f>
        <v>170.518798828125</v>
      </c>
      <c r="D410" s="1">
        <f>(teraterm[[#This Row],[Column2]]-Q$4)*$S$3*1000</f>
        <v>-28.889973958333332</v>
      </c>
      <c r="E410" s="1">
        <f>IF(ABS(VALUE(teraterm[[#This Row],[Column1]]))&lt;4096,VALUE(teraterm[[#This Row],[Column1]]),0)</f>
        <v>1862</v>
      </c>
      <c r="F410" s="1">
        <f>teraterm[[#This Row],[V(V)]]^2</f>
        <v>29076.660753786564</v>
      </c>
    </row>
    <row r="411" spans="1:6" x14ac:dyDescent="0.25">
      <c r="A411" s="7">
        <v>2141</v>
      </c>
      <c r="B411" s="2">
        <v>331</v>
      </c>
      <c r="C411" s="1">
        <f>(teraterm[[#This Row],[Value(V)]]+$K$2)*$S$2</f>
        <v>195.9598388671875</v>
      </c>
      <c r="D411" s="1">
        <f>(teraterm[[#This Row],[Column2]]-Q$4)*$S$3*1000</f>
        <v>-11.800130208333332</v>
      </c>
      <c r="E411" s="1">
        <f>IF(ABS(VALUE(teraterm[[#This Row],[Column1]]))&lt;4096,VALUE(teraterm[[#This Row],[Column1]]),0)</f>
        <v>2141</v>
      </c>
      <c r="F411" s="1">
        <f>teraterm[[#This Row],[V(V)]]^2</f>
        <v>38400.258448854089</v>
      </c>
    </row>
    <row r="412" spans="1:6" x14ac:dyDescent="0.25">
      <c r="A412" s="7">
        <v>2420</v>
      </c>
      <c r="B412" s="2">
        <v>398</v>
      </c>
      <c r="C412" s="1">
        <f>(teraterm[[#This Row],[Value(V)]]+$K$2)*$S$2</f>
        <v>221.40087890625</v>
      </c>
      <c r="D412" s="1">
        <f>(teraterm[[#This Row],[Column2]]-Q$4)*$S$3*1000</f>
        <v>15.462239583333332</v>
      </c>
      <c r="E412" s="1">
        <f>IF(ABS(VALUE(teraterm[[#This Row],[Column1]]))&lt;4096,VALUE(teraterm[[#This Row],[Column1]]),0)</f>
        <v>2420</v>
      </c>
      <c r="F412" s="1">
        <f>teraterm[[#This Row],[V(V)]]^2</f>
        <v>49018.349180459976</v>
      </c>
    </row>
    <row r="413" spans="1:6" x14ac:dyDescent="0.25">
      <c r="A413" s="7">
        <v>2668</v>
      </c>
      <c r="B413" s="2">
        <v>428</v>
      </c>
      <c r="C413" s="1">
        <f>(teraterm[[#This Row],[Value(V)]]+$K$2)*$S$2</f>
        <v>244.01513671875</v>
      </c>
      <c r="D413" s="1">
        <f>(teraterm[[#This Row],[Column2]]-Q$4)*$S$3*1000</f>
        <v>27.669270833333332</v>
      </c>
      <c r="E413" s="1">
        <f>IF(ABS(VALUE(teraterm[[#This Row],[Column1]]))&lt;4096,VALUE(teraterm[[#This Row],[Column1]]),0)</f>
        <v>2668</v>
      </c>
      <c r="F413" s="1">
        <f>teraterm[[#This Row],[V(V)]]^2</f>
        <v>59543.386947870255</v>
      </c>
    </row>
    <row r="414" spans="1:6" x14ac:dyDescent="0.25">
      <c r="A414" s="7">
        <v>2908</v>
      </c>
      <c r="B414" s="2">
        <v>467</v>
      </c>
      <c r="C414" s="1">
        <f>(teraterm[[#This Row],[Value(V)]]+$K$2)*$S$2</f>
        <v>265.89990234375</v>
      </c>
      <c r="D414" s="1">
        <f>(teraterm[[#This Row],[Column2]]-Q$4)*$S$3*1000</f>
        <v>43.538411458333329</v>
      </c>
      <c r="E414" s="1">
        <f>IF(ABS(VALUE(teraterm[[#This Row],[Column1]]))&lt;4096,VALUE(teraterm[[#This Row],[Column1]]),0)</f>
        <v>2908</v>
      </c>
      <c r="F414" s="1">
        <f>teraterm[[#This Row],[V(V)]]^2</f>
        <v>70702.758066415787</v>
      </c>
    </row>
    <row r="415" spans="1:6" x14ac:dyDescent="0.25">
      <c r="A415" s="7">
        <v>3130</v>
      </c>
      <c r="B415" s="2">
        <v>516</v>
      </c>
      <c r="C415" s="1">
        <f>(teraterm[[#This Row],[Value(V)]]+$K$2)*$S$2</f>
        <v>286.143310546875</v>
      </c>
      <c r="D415" s="1">
        <f>(teraterm[[#This Row],[Column2]]-Q$4)*$S$3*1000</f>
        <v>63.4765625</v>
      </c>
      <c r="E415" s="1">
        <f>IF(ABS(VALUE(teraterm[[#This Row],[Column1]]))&lt;4096,VALUE(teraterm[[#This Row],[Column1]]),0)</f>
        <v>3130</v>
      </c>
      <c r="F415" s="1">
        <f>teraterm[[#This Row],[V(V)]]^2</f>
        <v>81877.994170725346</v>
      </c>
    </row>
    <row r="416" spans="1:6" x14ac:dyDescent="0.25">
      <c r="A416" s="7">
        <v>3344</v>
      </c>
      <c r="B416" s="2">
        <v>561</v>
      </c>
      <c r="C416" s="1">
        <f>(teraterm[[#This Row],[Value(V)]]+$K$2)*$S$2</f>
        <v>305.6572265625</v>
      </c>
      <c r="D416" s="1">
        <f>(teraterm[[#This Row],[Column2]]-Q$4)*$S$3*1000</f>
        <v>81.787109374999986</v>
      </c>
      <c r="E416" s="1">
        <f>IF(ABS(VALUE(teraterm[[#This Row],[Column1]]))&lt;4096,VALUE(teraterm[[#This Row],[Column1]]),0)</f>
        <v>3344</v>
      </c>
      <c r="F416" s="1">
        <f>teraterm[[#This Row],[V(V)]]^2</f>
        <v>93426.340149879456</v>
      </c>
    </row>
    <row r="417" spans="1:6" x14ac:dyDescent="0.25">
      <c r="A417" s="7">
        <v>3545</v>
      </c>
      <c r="B417" s="2">
        <v>579</v>
      </c>
      <c r="C417" s="1">
        <f>(teraterm[[#This Row],[Value(V)]]+$K$2)*$S$2</f>
        <v>323.9857177734375</v>
      </c>
      <c r="D417" s="1">
        <f>(teraterm[[#This Row],[Column2]]-Q$4)*$S$3*1000</f>
        <v>89.111328124999986</v>
      </c>
      <c r="E417" s="1">
        <f>IF(ABS(VALUE(teraterm[[#This Row],[Column1]]))&lt;4096,VALUE(teraterm[[#This Row],[Column1]]),0)</f>
        <v>3545</v>
      </c>
      <c r="F417" s="1">
        <f>teraterm[[#This Row],[V(V)]]^2</f>
        <v>104966.7453211695</v>
      </c>
    </row>
    <row r="418" spans="1:6" x14ac:dyDescent="0.25">
      <c r="A418" s="7">
        <v>3711</v>
      </c>
      <c r="B418" s="2">
        <v>601</v>
      </c>
      <c r="C418" s="1">
        <f>(teraterm[[#This Row],[Value(V)]]+$K$2)*$S$2</f>
        <v>339.1226806640625</v>
      </c>
      <c r="D418" s="1">
        <f>(teraterm[[#This Row],[Column2]]-Q$4)*$S$3*1000</f>
        <v>98.063151041666657</v>
      </c>
      <c r="E418" s="1">
        <f>IF(ABS(VALUE(teraterm[[#This Row],[Column1]]))&lt;4096,VALUE(teraterm[[#This Row],[Column1]]),0)</f>
        <v>3711</v>
      </c>
      <c r="F418" s="1">
        <f>teraterm[[#This Row],[V(V)]]^2</f>
        <v>115004.19254077971</v>
      </c>
    </row>
    <row r="419" spans="1:6" x14ac:dyDescent="0.25">
      <c r="A419" s="7">
        <v>3837</v>
      </c>
      <c r="B419" s="2">
        <v>632</v>
      </c>
      <c r="C419" s="1">
        <f>(teraterm[[#This Row],[Value(V)]]+$K$2)*$S$2</f>
        <v>350.6121826171875</v>
      </c>
      <c r="D419" s="1">
        <f>(teraterm[[#This Row],[Column2]]-Q$4)*$S$3*1000</f>
        <v>110.67708333333333</v>
      </c>
      <c r="E419" s="1">
        <f>IF(ABS(VALUE(teraterm[[#This Row],[Column1]]))&lt;4096,VALUE(teraterm[[#This Row],[Column1]]),0)</f>
        <v>3837</v>
      </c>
      <c r="F419" s="1">
        <f>teraterm[[#This Row],[V(V)]]^2</f>
        <v>122928.90259958804</v>
      </c>
    </row>
    <row r="420" spans="1:6" x14ac:dyDescent="0.25">
      <c r="A420" s="7">
        <v>3949</v>
      </c>
      <c r="B420" s="2">
        <v>660</v>
      </c>
      <c r="C420" s="1">
        <f>(teraterm[[#This Row],[Value(V)]]+$K$2)*$S$2</f>
        <v>360.8250732421875</v>
      </c>
      <c r="D420" s="1">
        <f>(teraterm[[#This Row],[Column2]]-Q$4)*$S$3*1000</f>
        <v>122.07031249999999</v>
      </c>
      <c r="E420" s="1">
        <f>IF(ABS(VALUE(teraterm[[#This Row],[Column1]]))&lt;4096,VALUE(teraterm[[#This Row],[Column1]]),0)</f>
        <v>3949</v>
      </c>
      <c r="F420" s="1">
        <f>teraterm[[#This Row],[V(V)]]^2</f>
        <v>130194.73348022997</v>
      </c>
    </row>
    <row r="421" spans="1:6" x14ac:dyDescent="0.25">
      <c r="A421" s="7">
        <v>3994</v>
      </c>
      <c r="B421" s="2">
        <v>657</v>
      </c>
      <c r="C421" s="1">
        <f>(teraterm[[#This Row],[Value(V)]]+$K$2)*$S$2</f>
        <v>364.928466796875</v>
      </c>
      <c r="D421" s="1">
        <f>(teraterm[[#This Row],[Column2]]-Q$4)*$S$3*1000</f>
        <v>120.84960937499999</v>
      </c>
      <c r="E421" s="1">
        <f>IF(ABS(VALUE(teraterm[[#This Row],[Column1]]))&lt;4096,VALUE(teraterm[[#This Row],[Column1]]),0)</f>
        <v>3994</v>
      </c>
      <c r="F421" s="1">
        <f>teraterm[[#This Row],[V(V)]]^2</f>
        <v>133172.7858787179</v>
      </c>
    </row>
    <row r="422" spans="1:6" x14ac:dyDescent="0.25">
      <c r="A422" s="7">
        <v>4011</v>
      </c>
      <c r="B422" s="2">
        <v>657</v>
      </c>
      <c r="C422" s="1">
        <f>(teraterm[[#This Row],[Value(V)]]+$K$2)*$S$2</f>
        <v>366.4786376953125</v>
      </c>
      <c r="D422" s="1">
        <f>(teraterm[[#This Row],[Column2]]-Q$4)*$S$3*1000</f>
        <v>120.84960937499999</v>
      </c>
      <c r="E422" s="1">
        <f>IF(ABS(VALUE(teraterm[[#This Row],[Column1]]))&lt;4096,VALUE(teraterm[[#This Row],[Column1]]),0)</f>
        <v>4011</v>
      </c>
      <c r="F422" s="1">
        <f>teraterm[[#This Row],[V(V)]]^2</f>
        <v>134306.59188701212</v>
      </c>
    </row>
    <row r="423" spans="1:6" x14ac:dyDescent="0.25">
      <c r="A423" s="7">
        <v>4018</v>
      </c>
      <c r="B423" s="2">
        <v>648</v>
      </c>
      <c r="C423" s="1">
        <f>(teraterm[[#This Row],[Value(V)]]+$K$2)*$S$2</f>
        <v>367.116943359375</v>
      </c>
      <c r="D423" s="1">
        <f>(teraterm[[#This Row],[Column2]]-Q$4)*$S$3*1000</f>
        <v>117.18749999999999</v>
      </c>
      <c r="E423" s="1">
        <f>IF(ABS(VALUE(teraterm[[#This Row],[Column1]]))&lt;4096,VALUE(teraterm[[#This Row],[Column1]]),0)</f>
        <v>4018</v>
      </c>
      <c r="F423" s="1">
        <f>teraterm[[#This Row],[V(V)]]^2</f>
        <v>134774.85010153055</v>
      </c>
    </row>
    <row r="424" spans="1:6" x14ac:dyDescent="0.25">
      <c r="A424" s="7">
        <v>4015</v>
      </c>
      <c r="B424" s="2">
        <v>648</v>
      </c>
      <c r="C424" s="1">
        <f>(teraterm[[#This Row],[Value(V)]]+$K$2)*$S$2</f>
        <v>366.8433837890625</v>
      </c>
      <c r="D424" s="1">
        <f>(teraterm[[#This Row],[Column2]]-Q$4)*$S$3*1000</f>
        <v>117.18749999999999</v>
      </c>
      <c r="E424" s="1">
        <f>IF(ABS(VALUE(teraterm[[#This Row],[Column1]]))&lt;4096,VALUE(teraterm[[#This Row],[Column1]]),0)</f>
        <v>4015</v>
      </c>
      <c r="F424" s="1">
        <f>teraterm[[#This Row],[V(V)]]^2</f>
        <v>134574.0682298094</v>
      </c>
    </row>
    <row r="425" spans="1:6" x14ac:dyDescent="0.25">
      <c r="A425" s="7">
        <v>3984</v>
      </c>
      <c r="B425" s="2">
        <v>652</v>
      </c>
      <c r="C425" s="1">
        <f>(teraterm[[#This Row],[Value(V)]]+$K$2)*$S$2</f>
        <v>364.0166015625</v>
      </c>
      <c r="D425" s="1">
        <f>(teraterm[[#This Row],[Column2]]-Q$4)*$S$3*1000</f>
        <v>118.81510416666666</v>
      </c>
      <c r="E425" s="1">
        <f>IF(ABS(VALUE(teraterm[[#This Row],[Column1]]))&lt;4096,VALUE(teraterm[[#This Row],[Column1]]),0)</f>
        <v>3984</v>
      </c>
      <c r="F425" s="1">
        <f>teraterm[[#This Row],[V(V)]]^2</f>
        <v>132508.08621311188</v>
      </c>
    </row>
    <row r="426" spans="1:6" x14ac:dyDescent="0.25">
      <c r="A426" s="7">
        <v>3871</v>
      </c>
      <c r="B426" s="2">
        <v>629</v>
      </c>
      <c r="C426" s="1">
        <f>(teraterm[[#This Row],[Value(V)]]+$K$2)*$S$2</f>
        <v>353.7125244140625</v>
      </c>
      <c r="D426" s="1">
        <f>(teraterm[[#This Row],[Column2]]-Q$4)*$S$3*1000</f>
        <v>109.45638020833333</v>
      </c>
      <c r="E426" s="1">
        <f>IF(ABS(VALUE(teraterm[[#This Row],[Column1]]))&lt;4096,VALUE(teraterm[[#This Row],[Column1]]),0)</f>
        <v>3871</v>
      </c>
      <c r="F426" s="1">
        <f>teraterm[[#This Row],[V(V)]]^2</f>
        <v>125112.54992736876</v>
      </c>
    </row>
    <row r="427" spans="1:6" x14ac:dyDescent="0.25">
      <c r="A427" s="7">
        <v>3687</v>
      </c>
      <c r="B427" s="2">
        <v>601</v>
      </c>
      <c r="C427" s="1">
        <f>(teraterm[[#This Row],[Value(V)]]+$K$2)*$S$2</f>
        <v>336.9342041015625</v>
      </c>
      <c r="D427" s="1">
        <f>(teraterm[[#This Row],[Column2]]-Q$4)*$S$3*1000</f>
        <v>98.063151041666657</v>
      </c>
      <c r="E427" s="1">
        <f>IF(ABS(VALUE(teraterm[[#This Row],[Column1]]))&lt;4096,VALUE(teraterm[[#This Row],[Column1]]),0)</f>
        <v>3687</v>
      </c>
      <c r="F427" s="1">
        <f>teraterm[[#This Row],[V(V)]]^2</f>
        <v>113524.65789355338</v>
      </c>
    </row>
    <row r="428" spans="1:6" x14ac:dyDescent="0.25">
      <c r="A428" s="7">
        <v>3500</v>
      </c>
      <c r="B428" s="2">
        <v>556</v>
      </c>
      <c r="C428" s="1">
        <f>(teraterm[[#This Row],[Value(V)]]+$K$2)*$S$2</f>
        <v>319.88232421875</v>
      </c>
      <c r="D428" s="1">
        <f>(teraterm[[#This Row],[Column2]]-Q$4)*$S$3*1000</f>
        <v>79.752604166666657</v>
      </c>
      <c r="E428" s="1">
        <f>IF(ABS(VALUE(teraterm[[#This Row],[Column1]]))&lt;4096,VALUE(teraterm[[#This Row],[Column1]]),0)</f>
        <v>3500</v>
      </c>
      <c r="F428" s="1">
        <f>teraterm[[#This Row],[V(V)]]^2</f>
        <v>102324.70134758949</v>
      </c>
    </row>
    <row r="429" spans="1:6" x14ac:dyDescent="0.25">
      <c r="A429" s="7">
        <v>3298</v>
      </c>
      <c r="B429" s="2">
        <v>514</v>
      </c>
      <c r="C429" s="1">
        <f>(teraterm[[#This Row],[Value(V)]]+$K$2)*$S$2</f>
        <v>301.462646484375</v>
      </c>
      <c r="D429" s="1">
        <f>(teraterm[[#This Row],[Column2]]-Q$4)*$S$3*1000</f>
        <v>62.662760416666657</v>
      </c>
      <c r="E429" s="1">
        <f>IF(ABS(VALUE(teraterm[[#This Row],[Column1]]))&lt;4096,VALUE(teraterm[[#This Row],[Column1]]),0)</f>
        <v>3298</v>
      </c>
      <c r="F429" s="1">
        <f>teraterm[[#This Row],[V(V)]]^2</f>
        <v>90879.727225363255</v>
      </c>
    </row>
    <row r="430" spans="1:6" x14ac:dyDescent="0.25">
      <c r="A430" s="7">
        <v>3073</v>
      </c>
      <c r="B430" s="2">
        <v>467</v>
      </c>
      <c r="C430" s="1">
        <f>(teraterm[[#This Row],[Value(V)]]+$K$2)*$S$2</f>
        <v>280.9456787109375</v>
      </c>
      <c r="D430" s="1">
        <f>(teraterm[[#This Row],[Column2]]-Q$4)*$S$3*1000</f>
        <v>43.538411458333329</v>
      </c>
      <c r="E430" s="1">
        <f>IF(ABS(VALUE(teraterm[[#This Row],[Column1]]))&lt;4096,VALUE(teraterm[[#This Row],[Column1]]),0)</f>
        <v>3073</v>
      </c>
      <c r="F430" s="1">
        <f>teraterm[[#This Row],[V(V)]]^2</f>
        <v>78930.47438634932</v>
      </c>
    </row>
    <row r="431" spans="1:6" x14ac:dyDescent="0.25">
      <c r="A431" s="7">
        <v>2835</v>
      </c>
      <c r="B431" s="2">
        <v>446</v>
      </c>
      <c r="C431" s="1">
        <f>(teraterm[[#This Row],[Value(V)]]+$K$2)*$S$2</f>
        <v>259.2432861328125</v>
      </c>
      <c r="D431" s="1">
        <f>(teraterm[[#This Row],[Column2]]-Q$4)*$S$3*1000</f>
        <v>34.993489583333329</v>
      </c>
      <c r="E431" s="1">
        <f>IF(ABS(VALUE(teraterm[[#This Row],[Column1]]))&lt;4096,VALUE(teraterm[[#This Row],[Column1]]),0)</f>
        <v>2835</v>
      </c>
      <c r="F431" s="1">
        <f>teraterm[[#This Row],[V(V)]]^2</f>
        <v>67207.081404939294</v>
      </c>
    </row>
    <row r="432" spans="1:6" x14ac:dyDescent="0.25">
      <c r="A432" s="7">
        <v>2579</v>
      </c>
      <c r="B432" s="2">
        <v>384</v>
      </c>
      <c r="C432" s="1">
        <f>(teraterm[[#This Row],[Value(V)]]+$K$2)*$S$2</f>
        <v>235.8995361328125</v>
      </c>
      <c r="D432" s="1">
        <f>(teraterm[[#This Row],[Column2]]-Q$4)*$S$3*1000</f>
        <v>9.765625</v>
      </c>
      <c r="E432" s="1">
        <f>IF(ABS(VALUE(teraterm[[#This Row],[Column1]]))&lt;4096,VALUE(teraterm[[#This Row],[Column1]]),0)</f>
        <v>2579</v>
      </c>
      <c r="F432" s="1">
        <f>teraterm[[#This Row],[V(V)]]^2</f>
        <v>55648.59114767611</v>
      </c>
    </row>
    <row r="433" spans="1:6" x14ac:dyDescent="0.25">
      <c r="A433" s="7">
        <v>2304</v>
      </c>
      <c r="B433" s="2">
        <v>367</v>
      </c>
      <c r="C433" s="1">
        <f>(teraterm[[#This Row],[Value(V)]]+$K$2)*$S$2</f>
        <v>210.8232421875</v>
      </c>
      <c r="D433" s="1">
        <f>(teraterm[[#This Row],[Column2]]-Q$4)*$S$3*1000</f>
        <v>2.8483072916666665</v>
      </c>
      <c r="E433" s="1">
        <f>IF(ABS(VALUE(teraterm[[#This Row],[Column1]]))&lt;4096,VALUE(teraterm[[#This Row],[Column1]]),0)</f>
        <v>2304</v>
      </c>
      <c r="F433" s="1">
        <f>teraterm[[#This Row],[V(V)]]^2</f>
        <v>44446.43944644928</v>
      </c>
    </row>
    <row r="434" spans="1:6" x14ac:dyDescent="0.25">
      <c r="A434" s="7">
        <v>2020</v>
      </c>
      <c r="B434" s="2">
        <v>314</v>
      </c>
      <c r="C434" s="1">
        <f>(teraterm[[#This Row],[Value(V)]]+$K$2)*$S$2</f>
        <v>184.92626953125</v>
      </c>
      <c r="D434" s="1">
        <f>(teraterm[[#This Row],[Column2]]-Q$4)*$S$3*1000</f>
        <v>-18.717447916666664</v>
      </c>
      <c r="E434" s="1">
        <f>IF(ABS(VALUE(teraterm[[#This Row],[Column1]]))&lt;4096,VALUE(teraterm[[#This Row],[Column1]]),0)</f>
        <v>2020</v>
      </c>
      <c r="F434" s="1">
        <f>teraterm[[#This Row],[V(V)]]^2</f>
        <v>34197.725162744522</v>
      </c>
    </row>
    <row r="435" spans="1:6" x14ac:dyDescent="0.25">
      <c r="A435" s="7">
        <v>1754</v>
      </c>
      <c r="B435" s="2">
        <v>264</v>
      </c>
      <c r="C435" s="1">
        <f>(teraterm[[#This Row],[Value(V)]]+$K$2)*$S$2</f>
        <v>160.670654296875</v>
      </c>
      <c r="D435" s="1">
        <f>(teraterm[[#This Row],[Column2]]-Q$4)*$S$3*1000</f>
        <v>-39.0625</v>
      </c>
      <c r="E435" s="1">
        <f>IF(ABS(VALUE(teraterm[[#This Row],[Column1]]))&lt;4096,VALUE(teraterm[[#This Row],[Column1]]),0)</f>
        <v>1754</v>
      </c>
      <c r="F435" s="1">
        <f>teraterm[[#This Row],[V(V)]]^2</f>
        <v>25815.059152185917</v>
      </c>
    </row>
    <row r="436" spans="1:6" x14ac:dyDescent="0.25">
      <c r="A436" s="7">
        <v>1502</v>
      </c>
      <c r="B436" s="2">
        <v>204</v>
      </c>
      <c r="C436" s="1">
        <f>(teraterm[[#This Row],[Value(V)]]+$K$2)*$S$2</f>
        <v>137.691650390625</v>
      </c>
      <c r="D436" s="1">
        <f>(teraterm[[#This Row],[Column2]]-Q$4)*$S$3*1000</f>
        <v>-63.4765625</v>
      </c>
      <c r="E436" s="1">
        <f>IF(ABS(VALUE(teraterm[[#This Row],[Column1]]))&lt;4096,VALUE(teraterm[[#This Row],[Column1]]),0)</f>
        <v>1502</v>
      </c>
      <c r="F436" s="1">
        <f>teraterm[[#This Row],[V(V)]]^2</f>
        <v>18958.990587294102</v>
      </c>
    </row>
    <row r="437" spans="1:6" x14ac:dyDescent="0.25">
      <c r="A437" s="7">
        <v>1262</v>
      </c>
      <c r="B437" s="2">
        <v>180</v>
      </c>
      <c r="C437" s="1">
        <f>(teraterm[[#This Row],[Value(V)]]+$K$2)*$S$2</f>
        <v>115.806884765625</v>
      </c>
      <c r="D437" s="1">
        <f>(teraterm[[#This Row],[Column2]]-Q$4)*$S$3*1000</f>
        <v>-73.2421875</v>
      </c>
      <c r="E437" s="1">
        <f>IF(ABS(VALUE(teraterm[[#This Row],[Column1]]))&lt;4096,VALUE(teraterm[[#This Row],[Column1]]),0)</f>
        <v>1262</v>
      </c>
      <c r="F437" s="1">
        <f>teraterm[[#This Row],[V(V)]]^2</f>
        <v>13411.234559118748</v>
      </c>
    </row>
    <row r="438" spans="1:6" x14ac:dyDescent="0.25">
      <c r="A438" s="7">
        <v>1036</v>
      </c>
      <c r="B438" s="2">
        <v>105</v>
      </c>
      <c r="C438" s="1">
        <f>(teraterm[[#This Row],[Value(V)]]+$K$2)*$S$2</f>
        <v>95.19873046875</v>
      </c>
      <c r="D438" s="1">
        <f>(teraterm[[#This Row],[Column2]]-Q$4)*$S$3*1000</f>
        <v>-103.75976562499999</v>
      </c>
      <c r="E438" s="1">
        <f>IF(ABS(VALUE(teraterm[[#This Row],[Column1]]))&lt;4096,VALUE(teraterm[[#This Row],[Column1]]),0)</f>
        <v>1036</v>
      </c>
      <c r="F438" s="1">
        <f>teraterm[[#This Row],[V(V)]]^2</f>
        <v>9062.7982828617096</v>
      </c>
    </row>
    <row r="439" spans="1:6" x14ac:dyDescent="0.25">
      <c r="A439" s="7">
        <v>822</v>
      </c>
      <c r="B439" s="2">
        <v>44</v>
      </c>
      <c r="C439" s="1">
        <f>(teraterm[[#This Row],[Value(V)]]+$K$2)*$S$2</f>
        <v>75.684814453125</v>
      </c>
      <c r="D439" s="1">
        <f>(teraterm[[#This Row],[Column2]]-Q$4)*$S$3*1000</f>
        <v>-128.58072916666666</v>
      </c>
      <c r="E439" s="1">
        <f>IF(ABS(VALUE(teraterm[[#This Row],[Column1]]))&lt;4096,VALUE(teraterm[[#This Row],[Column1]]),0)</f>
        <v>822</v>
      </c>
      <c r="F439" s="1">
        <f>teraterm[[#This Row],[V(V)]]^2</f>
        <v>5728.1911388039589</v>
      </c>
    </row>
    <row r="440" spans="1:6" x14ac:dyDescent="0.25">
      <c r="A440" s="7">
        <v>627</v>
      </c>
      <c r="B440" s="2">
        <v>3</v>
      </c>
      <c r="C440" s="1">
        <f>(teraterm[[#This Row],[Value(V)]]+$K$2)*$S$2</f>
        <v>57.9034423828125</v>
      </c>
      <c r="D440" s="1">
        <f>(teraterm[[#This Row],[Column2]]-Q$4)*$S$3*1000</f>
        <v>-145.263671875</v>
      </c>
      <c r="E440" s="1">
        <f>IF(ABS(VALUE(teraterm[[#This Row],[Column1]]))&lt;4096,VALUE(teraterm[[#This Row],[Column1]]),0)</f>
        <v>627</v>
      </c>
      <c r="F440" s="1">
        <f>teraterm[[#This Row],[V(V)]]^2</f>
        <v>3352.8086397796869</v>
      </c>
    </row>
    <row r="441" spans="1:6" x14ac:dyDescent="0.25">
      <c r="A441" s="7">
        <v>481</v>
      </c>
      <c r="B441" s="2">
        <v>-43</v>
      </c>
      <c r="C441" s="1">
        <f>(teraterm[[#This Row],[Value(V)]]+$K$2)*$S$2</f>
        <v>44.5902099609375</v>
      </c>
      <c r="D441" s="1">
        <f>(teraterm[[#This Row],[Column2]]-Q$4)*$S$3*1000</f>
        <v>-163.98111979166666</v>
      </c>
      <c r="E441" s="1">
        <f>IF(ABS(VALUE(teraterm[[#This Row],[Column1]]))&lt;4096,VALUE(teraterm[[#This Row],[Column1]]),0)</f>
        <v>481</v>
      </c>
      <c r="F441" s="1">
        <f>teraterm[[#This Row],[V(V)]]^2</f>
        <v>1988.2868243604898</v>
      </c>
    </row>
    <row r="442" spans="1:6" x14ac:dyDescent="0.25">
      <c r="A442" s="7">
        <v>353</v>
      </c>
      <c r="B442" s="2">
        <v>-86</v>
      </c>
      <c r="C442" s="1">
        <f>(teraterm[[#This Row],[Value(V)]]+$K$2)*$S$2</f>
        <v>32.9183349609375</v>
      </c>
      <c r="D442" s="1">
        <f>(teraterm[[#This Row],[Column2]]-Q$4)*$S$3*1000</f>
        <v>-181.47786458333331</v>
      </c>
      <c r="E442" s="1">
        <f>IF(ABS(VALUE(teraterm[[#This Row],[Column1]]))&lt;4096,VALUE(teraterm[[#This Row],[Column1]]),0)</f>
        <v>353</v>
      </c>
      <c r="F442" s="1">
        <f>teraterm[[#This Row],[V(V)]]^2</f>
        <v>1083.6167766004801</v>
      </c>
    </row>
    <row r="443" spans="1:6" x14ac:dyDescent="0.25">
      <c r="A443" s="7">
        <v>280</v>
      </c>
      <c r="B443" s="2">
        <v>-103</v>
      </c>
      <c r="C443" s="1">
        <f>(teraterm[[#This Row],[Value(V)]]+$K$2)*$S$2</f>
        <v>26.26171875</v>
      </c>
      <c r="D443" s="1">
        <f>(teraterm[[#This Row],[Column2]]-Q$4)*$S$3*1000</f>
        <v>-188.39518229166666</v>
      </c>
      <c r="E443" s="1">
        <f>IF(ABS(VALUE(teraterm[[#This Row],[Column1]]))&lt;4096,VALUE(teraterm[[#This Row],[Column1]]),0)</f>
        <v>280</v>
      </c>
      <c r="F443" s="1">
        <f>teraterm[[#This Row],[V(V)]]^2</f>
        <v>689.67787170410156</v>
      </c>
    </row>
    <row r="444" spans="1:6" x14ac:dyDescent="0.25">
      <c r="A444" s="7">
        <v>260</v>
      </c>
      <c r="B444" s="2">
        <v>-113</v>
      </c>
      <c r="C444" s="1">
        <f>(teraterm[[#This Row],[Value(V)]]+$K$2)*$S$2</f>
        <v>24.43798828125</v>
      </c>
      <c r="D444" s="1">
        <f>(teraterm[[#This Row],[Column2]]-Q$4)*$S$3*1000</f>
        <v>-192.46419270833331</v>
      </c>
      <c r="E444" s="1">
        <f>IF(ABS(VALUE(teraterm[[#This Row],[Column1]]))&lt;4096,VALUE(teraterm[[#This Row],[Column1]]),0)</f>
        <v>260</v>
      </c>
      <c r="F444" s="1">
        <f>teraterm[[#This Row],[V(V)]]^2</f>
        <v>597.21527123451233</v>
      </c>
    </row>
    <row r="445" spans="1:6" x14ac:dyDescent="0.25">
      <c r="A445" s="7">
        <v>253</v>
      </c>
      <c r="B445" s="2">
        <v>-115</v>
      </c>
      <c r="C445" s="1">
        <f>(teraterm[[#This Row],[Value(V)]]+$K$2)*$S$2</f>
        <v>23.7996826171875</v>
      </c>
      <c r="D445" s="1">
        <f>(teraterm[[#This Row],[Column2]]-Q$4)*$S$3*1000</f>
        <v>-193.27799479166666</v>
      </c>
      <c r="E445" s="1">
        <f>IF(ABS(VALUE(teraterm[[#This Row],[Column1]]))&lt;4096,VALUE(teraterm[[#This Row],[Column1]]),0)</f>
        <v>253</v>
      </c>
      <c r="F445" s="1">
        <f>teraterm[[#This Row],[V(V)]]^2</f>
        <v>566.42489267885685</v>
      </c>
    </row>
    <row r="446" spans="1:6" x14ac:dyDescent="0.25">
      <c r="A446" s="7">
        <v>261</v>
      </c>
      <c r="B446" s="2">
        <v>-106</v>
      </c>
      <c r="C446" s="1">
        <f>(teraterm[[#This Row],[Value(V)]]+$K$2)*$S$2</f>
        <v>24.5291748046875</v>
      </c>
      <c r="D446" s="1">
        <f>(teraterm[[#This Row],[Column2]]-Q$4)*$S$3*1000</f>
        <v>-189.61588541666666</v>
      </c>
      <c r="E446" s="1">
        <f>IF(ABS(VALUE(teraterm[[#This Row],[Column1]]))&lt;4096,VALUE(teraterm[[#This Row],[Column1]]),0)</f>
        <v>261</v>
      </c>
      <c r="F446" s="1">
        <f>teraterm[[#This Row],[V(V)]]^2</f>
        <v>601.68041659891605</v>
      </c>
    </row>
    <row r="447" spans="1:6" x14ac:dyDescent="0.25">
      <c r="A447" s="7">
        <v>284</v>
      </c>
      <c r="B447" s="2">
        <v>-97</v>
      </c>
      <c r="C447" s="1">
        <f>(teraterm[[#This Row],[Value(V)]]+$K$2)*$S$2</f>
        <v>26.62646484375</v>
      </c>
      <c r="D447" s="1">
        <f>(teraterm[[#This Row],[Column2]]-Q$4)*$S$3*1000</f>
        <v>-185.95377604166666</v>
      </c>
      <c r="E447" s="1">
        <f>IF(ABS(VALUE(teraterm[[#This Row],[Column1]]))&lt;4096,VALUE(teraterm[[#This Row],[Column1]]),0)</f>
        <v>284</v>
      </c>
      <c r="F447" s="1">
        <f>teraterm[[#This Row],[V(V)]]^2</f>
        <v>708.96863007545471</v>
      </c>
    </row>
    <row r="448" spans="1:6" x14ac:dyDescent="0.25">
      <c r="A448" s="7">
        <v>377</v>
      </c>
      <c r="B448" s="2">
        <v>-51</v>
      </c>
      <c r="C448" s="1">
        <f>(teraterm[[#This Row],[Value(V)]]+$K$2)*$S$2</f>
        <v>35.1068115234375</v>
      </c>
      <c r="D448" s="1">
        <f>(teraterm[[#This Row],[Column2]]-Q$4)*$S$3*1000</f>
        <v>-167.23632812499997</v>
      </c>
      <c r="E448" s="1">
        <f>IF(ABS(VALUE(teraterm[[#This Row],[Column1]]))&lt;4096,VALUE(teraterm[[#This Row],[Column1]]),0)</f>
        <v>377</v>
      </c>
      <c r="F448" s="1">
        <f>teraterm[[#This Row],[V(V)]]^2</f>
        <v>1232.488215342164</v>
      </c>
    </row>
    <row r="449" spans="1:6" x14ac:dyDescent="0.25">
      <c r="A449" s="7">
        <v>562</v>
      </c>
      <c r="B449" s="2">
        <v>18</v>
      </c>
      <c r="C449" s="1">
        <f>(teraterm[[#This Row],[Value(V)]]+$K$2)*$S$2</f>
        <v>51.976318359375</v>
      </c>
      <c r="D449" s="1">
        <f>(teraterm[[#This Row],[Column2]]-Q$4)*$S$3*1000</f>
        <v>-139.16015625</v>
      </c>
      <c r="E449" s="1">
        <f>IF(ABS(VALUE(teraterm[[#This Row],[Column1]]))&lt;4096,VALUE(teraterm[[#This Row],[Column1]]),0)</f>
        <v>562</v>
      </c>
      <c r="F449" s="1">
        <f>teraterm[[#This Row],[V(V)]]^2</f>
        <v>2701.5376701951027</v>
      </c>
    </row>
    <row r="450" spans="1:6" x14ac:dyDescent="0.25">
      <c r="A450" s="7">
        <v>758</v>
      </c>
      <c r="B450" s="2">
        <v>57</v>
      </c>
      <c r="C450" s="1">
        <f>(teraterm[[#This Row],[Value(V)]]+$K$2)*$S$2</f>
        <v>69.848876953125</v>
      </c>
      <c r="D450" s="1">
        <f>(teraterm[[#This Row],[Column2]]-Q$4)*$S$3*1000</f>
        <v>-123.29101562499999</v>
      </c>
      <c r="E450" s="1">
        <f>IF(ABS(VALUE(teraterm[[#This Row],[Column1]]))&lt;4096,VALUE(teraterm[[#This Row],[Column1]]),0)</f>
        <v>758</v>
      </c>
      <c r="F450" s="1">
        <f>teraterm[[#This Row],[V(V)]]^2</f>
        <v>4878.8656116127968</v>
      </c>
    </row>
    <row r="451" spans="1:6" x14ac:dyDescent="0.25">
      <c r="A451" s="7">
        <v>965</v>
      </c>
      <c r="B451" s="2">
        <v>115</v>
      </c>
      <c r="C451" s="1">
        <f>(teraterm[[#This Row],[Value(V)]]+$K$2)*$S$2</f>
        <v>88.7244873046875</v>
      </c>
      <c r="D451" s="1">
        <f>(teraterm[[#This Row],[Column2]]-Q$4)*$S$3*1000</f>
        <v>-99.690755208333329</v>
      </c>
      <c r="E451" s="1">
        <f>IF(ABS(VALUE(teraterm[[#This Row],[Column1]]))&lt;4096,VALUE(teraterm[[#This Row],[Column1]]),0)</f>
        <v>965</v>
      </c>
      <c r="F451" s="1">
        <f>teraterm[[#This Row],[V(V)]]^2</f>
        <v>7872.0346474796534</v>
      </c>
    </row>
    <row r="452" spans="1:6" x14ac:dyDescent="0.25">
      <c r="A452" s="7">
        <v>1190</v>
      </c>
      <c r="B452" s="2">
        <v>157</v>
      </c>
      <c r="C452" s="1">
        <f>(teraterm[[#This Row],[Value(V)]]+$K$2)*$S$2</f>
        <v>109.241455078125</v>
      </c>
      <c r="D452" s="1">
        <f>(teraterm[[#This Row],[Column2]]-Q$4)*$S$3*1000</f>
        <v>-82.600911458333329</v>
      </c>
      <c r="E452" s="1">
        <f>IF(ABS(VALUE(teraterm[[#This Row],[Column1]]))&lt;4096,VALUE(teraterm[[#This Row],[Column1]]),0)</f>
        <v>1190</v>
      </c>
      <c r="F452" s="1">
        <f>teraterm[[#This Row],[V(V)]]^2</f>
        <v>11933.695507586002</v>
      </c>
    </row>
    <row r="453" spans="1:6" x14ac:dyDescent="0.25">
      <c r="A453" s="7">
        <v>1432</v>
      </c>
      <c r="B453" s="2">
        <v>224</v>
      </c>
      <c r="C453" s="1">
        <f>(teraterm[[#This Row],[Value(V)]]+$K$2)*$S$2</f>
        <v>131.30859375</v>
      </c>
      <c r="D453" s="1">
        <f>(teraterm[[#This Row],[Column2]]-Q$4)*$S$3*1000</f>
        <v>-55.338541666666664</v>
      </c>
      <c r="E453" s="1">
        <f>IF(ABS(VALUE(teraterm[[#This Row],[Column1]]))&lt;4096,VALUE(teraterm[[#This Row],[Column1]]),0)</f>
        <v>1432</v>
      </c>
      <c r="F453" s="1">
        <f>teraterm[[#This Row],[V(V)]]^2</f>
        <v>17241.946792602539</v>
      </c>
    </row>
    <row r="454" spans="1:6" x14ac:dyDescent="0.25">
      <c r="A454" s="7">
        <v>1683</v>
      </c>
      <c r="B454" s="2">
        <v>252</v>
      </c>
      <c r="C454" s="1">
        <f>(teraterm[[#This Row],[Value(V)]]+$K$2)*$S$2</f>
        <v>154.1964111328125</v>
      </c>
      <c r="D454" s="1">
        <f>(teraterm[[#This Row],[Column2]]-Q$4)*$S$3*1000</f>
        <v>-43.945312499999993</v>
      </c>
      <c r="E454" s="1">
        <f>IF(ABS(VALUE(teraterm[[#This Row],[Column1]]))&lt;4096,VALUE(teraterm[[#This Row],[Column1]]),0)</f>
        <v>1683</v>
      </c>
      <c r="F454" s="1">
        <f>teraterm[[#This Row],[V(V)]]^2</f>
        <v>23776.533206239343</v>
      </c>
    </row>
    <row r="455" spans="1:6" x14ac:dyDescent="0.25">
      <c r="A455" s="7">
        <v>1956</v>
      </c>
      <c r="C455" s="1">
        <f>(teraterm[[#This Row],[Value(V)]]+$K$2)*$S$2</f>
        <v>179.09033203125</v>
      </c>
      <c r="D455" s="1">
        <f>(teraterm[[#This Row],[Column2]]-Q$4)*$S$3*1000</f>
        <v>-146.484375</v>
      </c>
      <c r="E455" s="1">
        <f>IF(ABS(VALUE(teraterm[[#This Row],[Column1]]))&lt;4096,VALUE(teraterm[[#This Row],[Column1]]),0)</f>
        <v>1956</v>
      </c>
      <c r="F455" s="1">
        <f>teraterm[[#This Row],[V(V)]]^2</f>
        <v>32073.34702706337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8292A6-ABAE-46A8-82FC-2C044E9050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2017-12-08T23:56:31Z</dcterms:created>
  <dcterms:modified xsi:type="dcterms:W3CDTF">2018-01-02T21:29:33Z</dcterms:modified>
</cp:coreProperties>
</file>