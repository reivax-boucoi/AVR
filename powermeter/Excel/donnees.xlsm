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AVR\AVR\powermeter\Excel\"/>
    </mc:Choice>
  </mc:AlternateContent>
  <bookViews>
    <workbookView xWindow="0" yWindow="0" windowWidth="20490" windowHeight="7530" xr2:uid="{4FA51998-39E3-4156-9903-24D988C6EFAE}"/>
  </bookViews>
  <sheets>
    <sheet name="Sheet2" sheetId="2" r:id="rId1"/>
  </sheets>
  <definedNames>
    <definedName name="ExternalData_1" localSheetId="0" hidden="1">Sheet2!$A$1:$B$702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Q2" i="2" l="1"/>
  <c r="R2" i="2"/>
  <c r="Q3" i="2"/>
  <c r="R3" i="2"/>
  <c r="S3" i="2" l="1"/>
  <c r="S2" i="2"/>
  <c r="O2" i="2"/>
  <c r="M2" i="2"/>
  <c r="C521" i="2" l="1"/>
  <c r="F521" i="2" s="1"/>
  <c r="C517" i="2"/>
  <c r="F517" i="2" s="1"/>
  <c r="C513" i="2"/>
  <c r="F513" i="2" s="1"/>
  <c r="C509" i="2"/>
  <c r="F509" i="2" s="1"/>
  <c r="C505" i="2"/>
  <c r="F505" i="2" s="1"/>
  <c r="C501" i="2"/>
  <c r="F501" i="2" s="1"/>
  <c r="C497" i="2"/>
  <c r="F497" i="2" s="1"/>
  <c r="C493" i="2"/>
  <c r="F493" i="2" s="1"/>
  <c r="C489" i="2"/>
  <c r="F489" i="2" s="1"/>
  <c r="C485" i="2"/>
  <c r="F485" i="2" s="1"/>
  <c r="C481" i="2"/>
  <c r="F481" i="2" s="1"/>
  <c r="C477" i="2"/>
  <c r="F477" i="2" s="1"/>
  <c r="C473" i="2"/>
  <c r="F473" i="2" s="1"/>
  <c r="C469" i="2"/>
  <c r="F469" i="2" s="1"/>
  <c r="C465" i="2"/>
  <c r="F465" i="2" s="1"/>
  <c r="C461" i="2"/>
  <c r="F461" i="2" s="1"/>
  <c r="C457" i="2"/>
  <c r="F457" i="2" s="1"/>
  <c r="C453" i="2"/>
  <c r="F453" i="2" s="1"/>
  <c r="C449" i="2"/>
  <c r="F449" i="2" s="1"/>
  <c r="C445" i="2"/>
  <c r="F445" i="2" s="1"/>
  <c r="C441" i="2"/>
  <c r="F441" i="2" s="1"/>
  <c r="C437" i="2"/>
  <c r="F437" i="2" s="1"/>
  <c r="C433" i="2"/>
  <c r="F433" i="2" s="1"/>
  <c r="C429" i="2"/>
  <c r="F429" i="2" s="1"/>
  <c r="C425" i="2"/>
  <c r="F425" i="2" s="1"/>
  <c r="C421" i="2"/>
  <c r="F421" i="2" s="1"/>
  <c r="C417" i="2"/>
  <c r="F417" i="2" s="1"/>
  <c r="C413" i="2"/>
  <c r="F413" i="2" s="1"/>
  <c r="C409" i="2"/>
  <c r="F409" i="2" s="1"/>
  <c r="C405" i="2"/>
  <c r="F405" i="2" s="1"/>
  <c r="C401" i="2"/>
  <c r="F401" i="2" s="1"/>
  <c r="C397" i="2"/>
  <c r="F397" i="2" s="1"/>
  <c r="C393" i="2"/>
  <c r="F393" i="2" s="1"/>
  <c r="C389" i="2"/>
  <c r="F389" i="2" s="1"/>
  <c r="C385" i="2"/>
  <c r="F385" i="2" s="1"/>
  <c r="C381" i="2"/>
  <c r="F381" i="2" s="1"/>
  <c r="C377" i="2"/>
  <c r="F377" i="2" s="1"/>
  <c r="C373" i="2"/>
  <c r="F373" i="2" s="1"/>
  <c r="C369" i="2"/>
  <c r="F369" i="2" s="1"/>
  <c r="C365" i="2"/>
  <c r="F365" i="2" s="1"/>
  <c r="C361" i="2"/>
  <c r="F361" i="2" s="1"/>
  <c r="C357" i="2"/>
  <c r="F357" i="2" s="1"/>
  <c r="C353" i="2"/>
  <c r="F353" i="2" s="1"/>
  <c r="C349" i="2"/>
  <c r="F349" i="2" s="1"/>
  <c r="C345" i="2"/>
  <c r="F345" i="2" s="1"/>
  <c r="C341" i="2"/>
  <c r="F341" i="2" s="1"/>
  <c r="C337" i="2"/>
  <c r="F337" i="2" s="1"/>
  <c r="C333" i="2"/>
  <c r="F333" i="2" s="1"/>
  <c r="C329" i="2"/>
  <c r="F329" i="2" s="1"/>
  <c r="C325" i="2"/>
  <c r="F325" i="2" s="1"/>
  <c r="C321" i="2"/>
  <c r="F321" i="2" s="1"/>
  <c r="C317" i="2"/>
  <c r="F317" i="2" s="1"/>
  <c r="C313" i="2"/>
  <c r="F313" i="2" s="1"/>
  <c r="C309" i="2"/>
  <c r="F309" i="2" s="1"/>
  <c r="C305" i="2"/>
  <c r="F305" i="2" s="1"/>
  <c r="C301" i="2"/>
  <c r="F301" i="2" s="1"/>
  <c r="C297" i="2"/>
  <c r="F297" i="2" s="1"/>
  <c r="C293" i="2"/>
  <c r="F293" i="2" s="1"/>
  <c r="C289" i="2"/>
  <c r="F289" i="2" s="1"/>
  <c r="C285" i="2"/>
  <c r="F285" i="2" s="1"/>
  <c r="C281" i="2"/>
  <c r="F281" i="2" s="1"/>
  <c r="C277" i="2"/>
  <c r="F277" i="2" s="1"/>
  <c r="C520" i="2"/>
  <c r="F520" i="2" s="1"/>
  <c r="C516" i="2"/>
  <c r="F516" i="2" s="1"/>
  <c r="C512" i="2"/>
  <c r="F512" i="2" s="1"/>
  <c r="C508" i="2"/>
  <c r="F508" i="2" s="1"/>
  <c r="C504" i="2"/>
  <c r="F504" i="2" s="1"/>
  <c r="C500" i="2"/>
  <c r="F500" i="2" s="1"/>
  <c r="C496" i="2"/>
  <c r="F496" i="2" s="1"/>
  <c r="C492" i="2"/>
  <c r="F492" i="2" s="1"/>
  <c r="C488" i="2"/>
  <c r="F488" i="2" s="1"/>
  <c r="C484" i="2"/>
  <c r="F484" i="2" s="1"/>
  <c r="C480" i="2"/>
  <c r="F480" i="2" s="1"/>
  <c r="C476" i="2"/>
  <c r="F476" i="2" s="1"/>
  <c r="C472" i="2"/>
  <c r="F472" i="2" s="1"/>
  <c r="C468" i="2"/>
  <c r="F468" i="2" s="1"/>
  <c r="C464" i="2"/>
  <c r="F464" i="2" s="1"/>
  <c r="C460" i="2"/>
  <c r="F460" i="2" s="1"/>
  <c r="C456" i="2"/>
  <c r="F456" i="2" s="1"/>
  <c r="C452" i="2"/>
  <c r="F452" i="2" s="1"/>
  <c r="C448" i="2"/>
  <c r="F448" i="2" s="1"/>
  <c r="C444" i="2"/>
  <c r="F444" i="2" s="1"/>
  <c r="C440" i="2"/>
  <c r="F440" i="2" s="1"/>
  <c r="C436" i="2"/>
  <c r="F436" i="2" s="1"/>
  <c r="C432" i="2"/>
  <c r="F432" i="2" s="1"/>
  <c r="C428" i="2"/>
  <c r="F428" i="2" s="1"/>
  <c r="C424" i="2"/>
  <c r="F424" i="2" s="1"/>
  <c r="C420" i="2"/>
  <c r="F420" i="2" s="1"/>
  <c r="C416" i="2"/>
  <c r="F416" i="2" s="1"/>
  <c r="C412" i="2"/>
  <c r="F412" i="2" s="1"/>
  <c r="C408" i="2"/>
  <c r="F408" i="2" s="1"/>
  <c r="C404" i="2"/>
  <c r="F404" i="2" s="1"/>
  <c r="C400" i="2"/>
  <c r="F400" i="2" s="1"/>
  <c r="C396" i="2"/>
  <c r="F396" i="2" s="1"/>
  <c r="C392" i="2"/>
  <c r="F392" i="2" s="1"/>
  <c r="C388" i="2"/>
  <c r="F388" i="2" s="1"/>
  <c r="C384" i="2"/>
  <c r="F384" i="2" s="1"/>
  <c r="C380" i="2"/>
  <c r="F380" i="2" s="1"/>
  <c r="C376" i="2"/>
  <c r="F376" i="2" s="1"/>
  <c r="C372" i="2"/>
  <c r="F372" i="2" s="1"/>
  <c r="C368" i="2"/>
  <c r="F368" i="2" s="1"/>
  <c r="C364" i="2"/>
  <c r="F364" i="2" s="1"/>
  <c r="C360" i="2"/>
  <c r="F360" i="2" s="1"/>
  <c r="C356" i="2"/>
  <c r="F356" i="2" s="1"/>
  <c r="C352" i="2"/>
  <c r="F352" i="2" s="1"/>
  <c r="C348" i="2"/>
  <c r="F348" i="2" s="1"/>
  <c r="C344" i="2"/>
  <c r="F344" i="2" s="1"/>
  <c r="C340" i="2"/>
  <c r="F340" i="2" s="1"/>
  <c r="C336" i="2"/>
  <c r="F336" i="2" s="1"/>
  <c r="C332" i="2"/>
  <c r="F332" i="2" s="1"/>
  <c r="C328" i="2"/>
  <c r="F328" i="2" s="1"/>
  <c r="C324" i="2"/>
  <c r="F324" i="2" s="1"/>
  <c r="C320" i="2"/>
  <c r="F320" i="2" s="1"/>
  <c r="C316" i="2"/>
  <c r="F316" i="2" s="1"/>
  <c r="C312" i="2"/>
  <c r="F312" i="2" s="1"/>
  <c r="C308" i="2"/>
  <c r="F308" i="2" s="1"/>
  <c r="C304" i="2"/>
  <c r="F304" i="2" s="1"/>
  <c r="C300" i="2"/>
  <c r="F300" i="2" s="1"/>
  <c r="C296" i="2"/>
  <c r="F296" i="2" s="1"/>
  <c r="C292" i="2"/>
  <c r="F292" i="2" s="1"/>
  <c r="C288" i="2"/>
  <c r="F288" i="2" s="1"/>
  <c r="C284" i="2"/>
  <c r="F284" i="2" s="1"/>
  <c r="C280" i="2"/>
  <c r="F280" i="2" s="1"/>
  <c r="C276" i="2"/>
  <c r="F276" i="2" s="1"/>
  <c r="C272" i="2"/>
  <c r="F272" i="2" s="1"/>
  <c r="C268" i="2"/>
  <c r="F268" i="2" s="1"/>
  <c r="C273" i="2"/>
  <c r="F273" i="2" s="1"/>
  <c r="C269" i="2"/>
  <c r="F269" i="2" s="1"/>
  <c r="C265" i="2"/>
  <c r="F265" i="2" s="1"/>
  <c r="C261" i="2"/>
  <c r="F261" i="2" s="1"/>
  <c r="C257" i="2"/>
  <c r="F257" i="2" s="1"/>
  <c r="C253" i="2"/>
  <c r="F253" i="2" s="1"/>
  <c r="C249" i="2"/>
  <c r="F249" i="2" s="1"/>
  <c r="C245" i="2"/>
  <c r="F245" i="2" s="1"/>
  <c r="C241" i="2"/>
  <c r="F241" i="2" s="1"/>
  <c r="C237" i="2"/>
  <c r="F237" i="2" s="1"/>
  <c r="C233" i="2"/>
  <c r="F233" i="2" s="1"/>
  <c r="C229" i="2"/>
  <c r="F229" i="2" s="1"/>
  <c r="C225" i="2"/>
  <c r="F225" i="2" s="1"/>
  <c r="C221" i="2"/>
  <c r="F221" i="2" s="1"/>
  <c r="C217" i="2"/>
  <c r="F217" i="2" s="1"/>
  <c r="C213" i="2"/>
  <c r="F213" i="2" s="1"/>
  <c r="C209" i="2"/>
  <c r="F209" i="2" s="1"/>
  <c r="C205" i="2"/>
  <c r="F205" i="2" s="1"/>
  <c r="C201" i="2"/>
  <c r="F201" i="2" s="1"/>
  <c r="C197" i="2"/>
  <c r="F197" i="2" s="1"/>
  <c r="C193" i="2"/>
  <c r="F193" i="2" s="1"/>
  <c r="C190" i="2"/>
  <c r="F190" i="2" s="1"/>
  <c r="C186" i="2"/>
  <c r="F186" i="2" s="1"/>
  <c r="C182" i="2"/>
  <c r="F182" i="2" s="1"/>
  <c r="C178" i="2"/>
  <c r="F178" i="2" s="1"/>
  <c r="C174" i="2"/>
  <c r="F174" i="2" s="1"/>
  <c r="C170" i="2"/>
  <c r="F170" i="2" s="1"/>
  <c r="C166" i="2"/>
  <c r="F166" i="2" s="1"/>
  <c r="C162" i="2"/>
  <c r="F162" i="2" s="1"/>
  <c r="C158" i="2"/>
  <c r="F158" i="2" s="1"/>
  <c r="C154" i="2"/>
  <c r="F154" i="2" s="1"/>
  <c r="C150" i="2"/>
  <c r="F150" i="2" s="1"/>
  <c r="C146" i="2"/>
  <c r="F146" i="2" s="1"/>
  <c r="C142" i="2"/>
  <c r="F142" i="2" s="1"/>
  <c r="C138" i="2"/>
  <c r="F138" i="2" s="1"/>
  <c r="C134" i="2"/>
  <c r="F134" i="2" s="1"/>
  <c r="C130" i="2"/>
  <c r="F130" i="2" s="1"/>
  <c r="C126" i="2"/>
  <c r="F126" i="2" s="1"/>
  <c r="C122" i="2"/>
  <c r="F122" i="2" s="1"/>
  <c r="C118" i="2"/>
  <c r="F118" i="2" s="1"/>
  <c r="C114" i="2"/>
  <c r="F114" i="2" s="1"/>
  <c r="C110" i="2"/>
  <c r="F110" i="2" s="1"/>
  <c r="C106" i="2"/>
  <c r="F106" i="2" s="1"/>
  <c r="C102" i="2"/>
  <c r="F102" i="2" s="1"/>
  <c r="C98" i="2"/>
  <c r="F98" i="2" s="1"/>
  <c r="C94" i="2"/>
  <c r="F94" i="2" s="1"/>
  <c r="C90" i="2"/>
  <c r="F90" i="2" s="1"/>
  <c r="C86" i="2"/>
  <c r="F86" i="2" s="1"/>
  <c r="C82" i="2"/>
  <c r="F82" i="2" s="1"/>
  <c r="C79" i="2"/>
  <c r="F79" i="2" s="1"/>
  <c r="C75" i="2"/>
  <c r="F75" i="2" s="1"/>
  <c r="C71" i="2"/>
  <c r="F71" i="2" s="1"/>
  <c r="C67" i="2"/>
  <c r="F67" i="2" s="1"/>
  <c r="C63" i="2"/>
  <c r="F63" i="2" s="1"/>
  <c r="C59" i="2"/>
  <c r="F59" i="2" s="1"/>
  <c r="C55" i="2"/>
  <c r="F55" i="2" s="1"/>
  <c r="C51" i="2"/>
  <c r="F51" i="2" s="1"/>
  <c r="C47" i="2"/>
  <c r="F47" i="2" s="1"/>
  <c r="C43" i="2"/>
  <c r="F43" i="2" s="1"/>
  <c r="C39" i="2"/>
  <c r="F39" i="2" s="1"/>
  <c r="C35" i="2"/>
  <c r="F35" i="2" s="1"/>
  <c r="C31" i="2"/>
  <c r="F31" i="2" s="1"/>
  <c r="C27" i="2"/>
  <c r="F27" i="2" s="1"/>
  <c r="C23" i="2"/>
  <c r="F23" i="2" s="1"/>
  <c r="C19" i="2"/>
  <c r="F19" i="2" s="1"/>
  <c r="C15" i="2"/>
  <c r="F15" i="2" s="1"/>
  <c r="C11" i="2"/>
  <c r="F11" i="2" s="1"/>
  <c r="C7" i="2"/>
  <c r="F7" i="2" s="1"/>
  <c r="C3" i="2"/>
  <c r="F3" i="2" s="1"/>
  <c r="C264" i="2"/>
  <c r="F264" i="2" s="1"/>
  <c r="C260" i="2"/>
  <c r="F260" i="2" s="1"/>
  <c r="C256" i="2"/>
  <c r="F256" i="2" s="1"/>
  <c r="C252" i="2"/>
  <c r="F252" i="2" s="1"/>
  <c r="C248" i="2"/>
  <c r="F248" i="2" s="1"/>
  <c r="C244" i="2"/>
  <c r="F244" i="2" s="1"/>
  <c r="C240" i="2"/>
  <c r="F240" i="2" s="1"/>
  <c r="C236" i="2"/>
  <c r="F236" i="2" s="1"/>
  <c r="C232" i="2"/>
  <c r="F232" i="2" s="1"/>
  <c r="C228" i="2"/>
  <c r="F228" i="2" s="1"/>
  <c r="C224" i="2"/>
  <c r="F224" i="2" s="1"/>
  <c r="C220" i="2"/>
  <c r="F220" i="2" s="1"/>
  <c r="C216" i="2"/>
  <c r="F216" i="2" s="1"/>
  <c r="C212" i="2"/>
  <c r="F212" i="2" s="1"/>
  <c r="C208" i="2"/>
  <c r="F208" i="2" s="1"/>
  <c r="C204" i="2"/>
  <c r="F204" i="2" s="1"/>
  <c r="C200" i="2"/>
  <c r="F200" i="2" s="1"/>
  <c r="C196" i="2"/>
  <c r="F196" i="2" s="1"/>
  <c r="C192" i="2"/>
  <c r="F192" i="2" s="1"/>
  <c r="C189" i="2"/>
  <c r="F189" i="2" s="1"/>
  <c r="C185" i="2"/>
  <c r="F185" i="2" s="1"/>
  <c r="C181" i="2"/>
  <c r="F181" i="2" s="1"/>
  <c r="C177" i="2"/>
  <c r="F177" i="2" s="1"/>
  <c r="C173" i="2"/>
  <c r="F173" i="2" s="1"/>
  <c r="C169" i="2"/>
  <c r="F169" i="2" s="1"/>
  <c r="C165" i="2"/>
  <c r="F165" i="2" s="1"/>
  <c r="C161" i="2"/>
  <c r="F161" i="2" s="1"/>
  <c r="C157" i="2"/>
  <c r="F157" i="2" s="1"/>
  <c r="C153" i="2"/>
  <c r="F153" i="2" s="1"/>
  <c r="C149" i="2"/>
  <c r="F149" i="2" s="1"/>
  <c r="C145" i="2"/>
  <c r="F145" i="2" s="1"/>
  <c r="C141" i="2"/>
  <c r="F141" i="2" s="1"/>
  <c r="C137" i="2"/>
  <c r="F137" i="2" s="1"/>
  <c r="C133" i="2"/>
  <c r="F133" i="2" s="1"/>
  <c r="C129" i="2"/>
  <c r="F129" i="2" s="1"/>
  <c r="C125" i="2"/>
  <c r="F125" i="2" s="1"/>
  <c r="C121" i="2"/>
  <c r="F121" i="2" s="1"/>
  <c r="C117" i="2"/>
  <c r="F117" i="2" s="1"/>
  <c r="C113" i="2"/>
  <c r="F113" i="2" s="1"/>
  <c r="C109" i="2"/>
  <c r="F109" i="2" s="1"/>
  <c r="C105" i="2"/>
  <c r="F105" i="2" s="1"/>
  <c r="C101" i="2"/>
  <c r="F101" i="2" s="1"/>
  <c r="C97" i="2"/>
  <c r="F97" i="2" s="1"/>
  <c r="C93" i="2"/>
  <c r="F93" i="2" s="1"/>
  <c r="C89" i="2"/>
  <c r="F89" i="2" s="1"/>
  <c r="C85" i="2"/>
  <c r="F85" i="2" s="1"/>
  <c r="C81" i="2"/>
  <c r="F81" i="2" s="1"/>
  <c r="C78" i="2"/>
  <c r="F78" i="2" s="1"/>
  <c r="C74" i="2"/>
  <c r="F74" i="2" s="1"/>
  <c r="C70" i="2"/>
  <c r="F70" i="2" s="1"/>
  <c r="C66" i="2"/>
  <c r="F66" i="2" s="1"/>
  <c r="C62" i="2"/>
  <c r="F62" i="2" s="1"/>
  <c r="C58" i="2"/>
  <c r="F58" i="2" s="1"/>
  <c r="C54" i="2"/>
  <c r="F54" i="2" s="1"/>
  <c r="C50" i="2"/>
  <c r="F50" i="2" s="1"/>
  <c r="C46" i="2"/>
  <c r="F46" i="2" s="1"/>
  <c r="C42" i="2"/>
  <c r="F42" i="2" s="1"/>
  <c r="C38" i="2"/>
  <c r="F38" i="2" s="1"/>
  <c r="C34" i="2"/>
  <c r="F34" i="2" s="1"/>
  <c r="C30" i="2"/>
  <c r="F30" i="2" s="1"/>
  <c r="C26" i="2"/>
  <c r="F26" i="2" s="1"/>
  <c r="C22" i="2"/>
  <c r="F22" i="2" s="1"/>
  <c r="C18" i="2"/>
  <c r="F18" i="2" s="1"/>
  <c r="C14" i="2"/>
  <c r="F14" i="2" s="1"/>
  <c r="C10" i="2"/>
  <c r="F10" i="2" s="1"/>
  <c r="C6" i="2"/>
  <c r="F6" i="2" s="1"/>
  <c r="C2" i="2"/>
  <c r="F2" i="2" s="1"/>
  <c r="C80" i="2"/>
  <c r="F80" i="2" s="1"/>
  <c r="C68" i="2"/>
  <c r="F68" i="2" s="1"/>
  <c r="C60" i="2"/>
  <c r="F60" i="2" s="1"/>
  <c r="C52" i="2"/>
  <c r="F52" i="2" s="1"/>
  <c r="C44" i="2"/>
  <c r="F44" i="2" s="1"/>
  <c r="C36" i="2"/>
  <c r="F36" i="2" s="1"/>
  <c r="C28" i="2"/>
  <c r="F28" i="2" s="1"/>
  <c r="C20" i="2"/>
  <c r="F20" i="2" s="1"/>
  <c r="C12" i="2"/>
  <c r="F12" i="2" s="1"/>
  <c r="C4" i="2"/>
  <c r="F4" i="2" s="1"/>
  <c r="C519" i="2"/>
  <c r="F519" i="2" s="1"/>
  <c r="C515" i="2"/>
  <c r="F515" i="2" s="1"/>
  <c r="C511" i="2"/>
  <c r="F511" i="2" s="1"/>
  <c r="C507" i="2"/>
  <c r="F507" i="2" s="1"/>
  <c r="C503" i="2"/>
  <c r="F503" i="2" s="1"/>
  <c r="C499" i="2"/>
  <c r="F499" i="2" s="1"/>
  <c r="C495" i="2"/>
  <c r="F495" i="2" s="1"/>
  <c r="C491" i="2"/>
  <c r="F491" i="2" s="1"/>
  <c r="C487" i="2"/>
  <c r="F487" i="2" s="1"/>
  <c r="C483" i="2"/>
  <c r="F483" i="2" s="1"/>
  <c r="C479" i="2"/>
  <c r="F479" i="2" s="1"/>
  <c r="C475" i="2"/>
  <c r="F475" i="2" s="1"/>
  <c r="C471" i="2"/>
  <c r="F471" i="2" s="1"/>
  <c r="C467" i="2"/>
  <c r="F467" i="2" s="1"/>
  <c r="C463" i="2"/>
  <c r="F463" i="2" s="1"/>
  <c r="C459" i="2"/>
  <c r="F459" i="2" s="1"/>
  <c r="C455" i="2"/>
  <c r="F455" i="2" s="1"/>
  <c r="C451" i="2"/>
  <c r="F451" i="2" s="1"/>
  <c r="C447" i="2"/>
  <c r="F447" i="2" s="1"/>
  <c r="C443" i="2"/>
  <c r="F443" i="2" s="1"/>
  <c r="C439" i="2"/>
  <c r="F439" i="2" s="1"/>
  <c r="C435" i="2"/>
  <c r="F435" i="2" s="1"/>
  <c r="C431" i="2"/>
  <c r="F431" i="2" s="1"/>
  <c r="C427" i="2"/>
  <c r="F427" i="2" s="1"/>
  <c r="C423" i="2"/>
  <c r="F423" i="2" s="1"/>
  <c r="C419" i="2"/>
  <c r="F419" i="2" s="1"/>
  <c r="C415" i="2"/>
  <c r="F415" i="2" s="1"/>
  <c r="C411" i="2"/>
  <c r="F411" i="2" s="1"/>
  <c r="C407" i="2"/>
  <c r="F407" i="2" s="1"/>
  <c r="C403" i="2"/>
  <c r="F403" i="2" s="1"/>
  <c r="C399" i="2"/>
  <c r="F399" i="2" s="1"/>
  <c r="C395" i="2"/>
  <c r="F395" i="2" s="1"/>
  <c r="C391" i="2"/>
  <c r="F391" i="2" s="1"/>
  <c r="C387" i="2"/>
  <c r="F387" i="2" s="1"/>
  <c r="C383" i="2"/>
  <c r="F383" i="2" s="1"/>
  <c r="C379" i="2"/>
  <c r="F379" i="2" s="1"/>
  <c r="C375" i="2"/>
  <c r="F375" i="2" s="1"/>
  <c r="C371" i="2"/>
  <c r="F371" i="2" s="1"/>
  <c r="C367" i="2"/>
  <c r="F367" i="2" s="1"/>
  <c r="C363" i="2"/>
  <c r="F363" i="2" s="1"/>
  <c r="C359" i="2"/>
  <c r="F359" i="2" s="1"/>
  <c r="C355" i="2"/>
  <c r="F355" i="2" s="1"/>
  <c r="C351" i="2"/>
  <c r="F351" i="2" s="1"/>
  <c r="C347" i="2"/>
  <c r="F347" i="2" s="1"/>
  <c r="C343" i="2"/>
  <c r="F343" i="2" s="1"/>
  <c r="C339" i="2"/>
  <c r="F339" i="2" s="1"/>
  <c r="C335" i="2"/>
  <c r="F335" i="2" s="1"/>
  <c r="C331" i="2"/>
  <c r="F331" i="2" s="1"/>
  <c r="C327" i="2"/>
  <c r="F327" i="2" s="1"/>
  <c r="C323" i="2"/>
  <c r="F323" i="2" s="1"/>
  <c r="C319" i="2"/>
  <c r="F319" i="2" s="1"/>
  <c r="C315" i="2"/>
  <c r="F315" i="2" s="1"/>
  <c r="C311" i="2"/>
  <c r="F311" i="2" s="1"/>
  <c r="C307" i="2"/>
  <c r="F307" i="2" s="1"/>
  <c r="C303" i="2"/>
  <c r="F303" i="2" s="1"/>
  <c r="C299" i="2"/>
  <c r="F299" i="2" s="1"/>
  <c r="C295" i="2"/>
  <c r="F295" i="2" s="1"/>
  <c r="C291" i="2"/>
  <c r="F291" i="2" s="1"/>
  <c r="C287" i="2"/>
  <c r="F287" i="2" s="1"/>
  <c r="C283" i="2"/>
  <c r="F283" i="2" s="1"/>
  <c r="C279" i="2"/>
  <c r="F279" i="2" s="1"/>
  <c r="C522" i="2"/>
  <c r="F522" i="2" s="1"/>
  <c r="C518" i="2"/>
  <c r="F518" i="2" s="1"/>
  <c r="C514" i="2"/>
  <c r="F514" i="2" s="1"/>
  <c r="C510" i="2"/>
  <c r="F510" i="2" s="1"/>
  <c r="C506" i="2"/>
  <c r="F506" i="2" s="1"/>
  <c r="C502" i="2"/>
  <c r="F502" i="2" s="1"/>
  <c r="C498" i="2"/>
  <c r="F498" i="2" s="1"/>
  <c r="C494" i="2"/>
  <c r="F494" i="2" s="1"/>
  <c r="C490" i="2"/>
  <c r="F490" i="2" s="1"/>
  <c r="C486" i="2"/>
  <c r="F486" i="2" s="1"/>
  <c r="C482" i="2"/>
  <c r="F482" i="2" s="1"/>
  <c r="C478" i="2"/>
  <c r="F478" i="2" s="1"/>
  <c r="C474" i="2"/>
  <c r="F474" i="2" s="1"/>
  <c r="C470" i="2"/>
  <c r="F470" i="2" s="1"/>
  <c r="C466" i="2"/>
  <c r="F466" i="2" s="1"/>
  <c r="C462" i="2"/>
  <c r="F462" i="2" s="1"/>
  <c r="C458" i="2"/>
  <c r="F458" i="2" s="1"/>
  <c r="C454" i="2"/>
  <c r="F454" i="2" s="1"/>
  <c r="C450" i="2"/>
  <c r="F450" i="2" s="1"/>
  <c r="C446" i="2"/>
  <c r="F446" i="2" s="1"/>
  <c r="C442" i="2"/>
  <c r="F442" i="2" s="1"/>
  <c r="C438" i="2"/>
  <c r="F438" i="2" s="1"/>
  <c r="C434" i="2"/>
  <c r="F434" i="2" s="1"/>
  <c r="C430" i="2"/>
  <c r="F430" i="2" s="1"/>
  <c r="C426" i="2"/>
  <c r="F426" i="2" s="1"/>
  <c r="C422" i="2"/>
  <c r="F422" i="2" s="1"/>
  <c r="C418" i="2"/>
  <c r="F418" i="2" s="1"/>
  <c r="C414" i="2"/>
  <c r="F414" i="2" s="1"/>
  <c r="C410" i="2"/>
  <c r="F410" i="2" s="1"/>
  <c r="C406" i="2"/>
  <c r="F406" i="2" s="1"/>
  <c r="C402" i="2"/>
  <c r="F402" i="2" s="1"/>
  <c r="C398" i="2"/>
  <c r="F398" i="2" s="1"/>
  <c r="C394" i="2"/>
  <c r="F394" i="2" s="1"/>
  <c r="C390" i="2"/>
  <c r="F390" i="2" s="1"/>
  <c r="C386" i="2"/>
  <c r="F386" i="2" s="1"/>
  <c r="C382" i="2"/>
  <c r="F382" i="2" s="1"/>
  <c r="C378" i="2"/>
  <c r="F378" i="2" s="1"/>
  <c r="C374" i="2"/>
  <c r="F374" i="2" s="1"/>
  <c r="C370" i="2"/>
  <c r="F370" i="2" s="1"/>
  <c r="C366" i="2"/>
  <c r="F366" i="2" s="1"/>
  <c r="C362" i="2"/>
  <c r="F362" i="2" s="1"/>
  <c r="C358" i="2"/>
  <c r="F358" i="2" s="1"/>
  <c r="C354" i="2"/>
  <c r="F354" i="2" s="1"/>
  <c r="C350" i="2"/>
  <c r="F350" i="2" s="1"/>
  <c r="C346" i="2"/>
  <c r="F346" i="2" s="1"/>
  <c r="C342" i="2"/>
  <c r="F342" i="2" s="1"/>
  <c r="C338" i="2"/>
  <c r="F338" i="2" s="1"/>
  <c r="C334" i="2"/>
  <c r="F334" i="2" s="1"/>
  <c r="C330" i="2"/>
  <c r="F330" i="2" s="1"/>
  <c r="C326" i="2"/>
  <c r="F326" i="2" s="1"/>
  <c r="C322" i="2"/>
  <c r="F322" i="2" s="1"/>
  <c r="C318" i="2"/>
  <c r="F318" i="2" s="1"/>
  <c r="C314" i="2"/>
  <c r="F314" i="2" s="1"/>
  <c r="C310" i="2"/>
  <c r="F310" i="2" s="1"/>
  <c r="C306" i="2"/>
  <c r="F306" i="2" s="1"/>
  <c r="C302" i="2"/>
  <c r="F302" i="2" s="1"/>
  <c r="C298" i="2"/>
  <c r="F298" i="2" s="1"/>
  <c r="C294" i="2"/>
  <c r="F294" i="2" s="1"/>
  <c r="C290" i="2"/>
  <c r="F290" i="2" s="1"/>
  <c r="C286" i="2"/>
  <c r="F286" i="2" s="1"/>
  <c r="C282" i="2"/>
  <c r="F282" i="2" s="1"/>
  <c r="C278" i="2"/>
  <c r="F278" i="2" s="1"/>
  <c r="C274" i="2"/>
  <c r="F274" i="2" s="1"/>
  <c r="C270" i="2"/>
  <c r="F270" i="2" s="1"/>
  <c r="C275" i="2"/>
  <c r="F275" i="2" s="1"/>
  <c r="C271" i="2"/>
  <c r="F271" i="2" s="1"/>
  <c r="C267" i="2"/>
  <c r="F267" i="2" s="1"/>
  <c r="C263" i="2"/>
  <c r="F263" i="2" s="1"/>
  <c r="C259" i="2"/>
  <c r="F259" i="2" s="1"/>
  <c r="C255" i="2"/>
  <c r="F255" i="2" s="1"/>
  <c r="C251" i="2"/>
  <c r="F251" i="2" s="1"/>
  <c r="C247" i="2"/>
  <c r="F247" i="2" s="1"/>
  <c r="C243" i="2"/>
  <c r="F243" i="2" s="1"/>
  <c r="C239" i="2"/>
  <c r="F239" i="2" s="1"/>
  <c r="C235" i="2"/>
  <c r="F235" i="2" s="1"/>
  <c r="C231" i="2"/>
  <c r="F231" i="2" s="1"/>
  <c r="C227" i="2"/>
  <c r="F227" i="2" s="1"/>
  <c r="C223" i="2"/>
  <c r="F223" i="2" s="1"/>
  <c r="C219" i="2"/>
  <c r="F219" i="2" s="1"/>
  <c r="C215" i="2"/>
  <c r="F215" i="2" s="1"/>
  <c r="C211" i="2"/>
  <c r="F211" i="2" s="1"/>
  <c r="C207" i="2"/>
  <c r="F207" i="2" s="1"/>
  <c r="C203" i="2"/>
  <c r="F203" i="2" s="1"/>
  <c r="C199" i="2"/>
  <c r="F199" i="2" s="1"/>
  <c r="C195" i="2"/>
  <c r="F195" i="2" s="1"/>
  <c r="C191" i="2"/>
  <c r="F191" i="2" s="1"/>
  <c r="C188" i="2"/>
  <c r="F188" i="2" s="1"/>
  <c r="C184" i="2"/>
  <c r="F184" i="2" s="1"/>
  <c r="C180" i="2"/>
  <c r="F180" i="2" s="1"/>
  <c r="C176" i="2"/>
  <c r="F176" i="2" s="1"/>
  <c r="C172" i="2"/>
  <c r="F172" i="2" s="1"/>
  <c r="C168" i="2"/>
  <c r="F168" i="2" s="1"/>
  <c r="C164" i="2"/>
  <c r="F164" i="2" s="1"/>
  <c r="C160" i="2"/>
  <c r="F160" i="2" s="1"/>
  <c r="C156" i="2"/>
  <c r="F156" i="2" s="1"/>
  <c r="C152" i="2"/>
  <c r="F152" i="2" s="1"/>
  <c r="C148" i="2"/>
  <c r="F148" i="2" s="1"/>
  <c r="C144" i="2"/>
  <c r="F144" i="2" s="1"/>
  <c r="C140" i="2"/>
  <c r="F140" i="2" s="1"/>
  <c r="C136" i="2"/>
  <c r="F136" i="2" s="1"/>
  <c r="C132" i="2"/>
  <c r="F132" i="2" s="1"/>
  <c r="C128" i="2"/>
  <c r="F128" i="2" s="1"/>
  <c r="C124" i="2"/>
  <c r="F124" i="2" s="1"/>
  <c r="C120" i="2"/>
  <c r="F120" i="2" s="1"/>
  <c r="C116" i="2"/>
  <c r="F116" i="2" s="1"/>
  <c r="C112" i="2"/>
  <c r="F112" i="2" s="1"/>
  <c r="C108" i="2"/>
  <c r="F108" i="2" s="1"/>
  <c r="C104" i="2"/>
  <c r="F104" i="2" s="1"/>
  <c r="C100" i="2"/>
  <c r="F100" i="2" s="1"/>
  <c r="C96" i="2"/>
  <c r="F96" i="2" s="1"/>
  <c r="C92" i="2"/>
  <c r="F92" i="2" s="1"/>
  <c r="C88" i="2"/>
  <c r="F88" i="2" s="1"/>
  <c r="C84" i="2"/>
  <c r="F84" i="2" s="1"/>
  <c r="C77" i="2"/>
  <c r="F77" i="2" s="1"/>
  <c r="C73" i="2"/>
  <c r="F73" i="2" s="1"/>
  <c r="C69" i="2"/>
  <c r="F69" i="2" s="1"/>
  <c r="C65" i="2"/>
  <c r="F65" i="2" s="1"/>
  <c r="C61" i="2"/>
  <c r="F61" i="2" s="1"/>
  <c r="C57" i="2"/>
  <c r="F57" i="2" s="1"/>
  <c r="C53" i="2"/>
  <c r="F53" i="2" s="1"/>
  <c r="C49" i="2"/>
  <c r="F49" i="2" s="1"/>
  <c r="C45" i="2"/>
  <c r="F45" i="2" s="1"/>
  <c r="C41" i="2"/>
  <c r="F41" i="2" s="1"/>
  <c r="C37" i="2"/>
  <c r="F37" i="2" s="1"/>
  <c r="C33" i="2"/>
  <c r="F33" i="2" s="1"/>
  <c r="C29" i="2"/>
  <c r="F29" i="2" s="1"/>
  <c r="C25" i="2"/>
  <c r="F25" i="2" s="1"/>
  <c r="C21" i="2"/>
  <c r="F21" i="2" s="1"/>
  <c r="C17" i="2"/>
  <c r="F17" i="2" s="1"/>
  <c r="C13" i="2"/>
  <c r="F13" i="2" s="1"/>
  <c r="C9" i="2"/>
  <c r="F9" i="2" s="1"/>
  <c r="C5" i="2"/>
  <c r="F5" i="2" s="1"/>
  <c r="C266" i="2"/>
  <c r="F266" i="2" s="1"/>
  <c r="C262" i="2"/>
  <c r="F262" i="2" s="1"/>
  <c r="C258" i="2"/>
  <c r="F258" i="2" s="1"/>
  <c r="C254" i="2"/>
  <c r="F254" i="2" s="1"/>
  <c r="C250" i="2"/>
  <c r="F250" i="2" s="1"/>
  <c r="C246" i="2"/>
  <c r="F246" i="2" s="1"/>
  <c r="C242" i="2"/>
  <c r="F242" i="2" s="1"/>
  <c r="C238" i="2"/>
  <c r="F238" i="2" s="1"/>
  <c r="C234" i="2"/>
  <c r="F234" i="2" s="1"/>
  <c r="C230" i="2"/>
  <c r="F230" i="2" s="1"/>
  <c r="C226" i="2"/>
  <c r="F226" i="2" s="1"/>
  <c r="C222" i="2"/>
  <c r="F222" i="2" s="1"/>
  <c r="C218" i="2"/>
  <c r="F218" i="2" s="1"/>
  <c r="C214" i="2"/>
  <c r="F214" i="2" s="1"/>
  <c r="C210" i="2"/>
  <c r="F210" i="2" s="1"/>
  <c r="C206" i="2"/>
  <c r="F206" i="2" s="1"/>
  <c r="C202" i="2"/>
  <c r="F202" i="2" s="1"/>
  <c r="C198" i="2"/>
  <c r="F198" i="2" s="1"/>
  <c r="C194" i="2"/>
  <c r="F194" i="2" s="1"/>
  <c r="C187" i="2"/>
  <c r="F187" i="2" s="1"/>
  <c r="C183" i="2"/>
  <c r="F183" i="2" s="1"/>
  <c r="C179" i="2"/>
  <c r="F179" i="2" s="1"/>
  <c r="C175" i="2"/>
  <c r="F175" i="2" s="1"/>
  <c r="C171" i="2"/>
  <c r="F171" i="2" s="1"/>
  <c r="C167" i="2"/>
  <c r="F167" i="2" s="1"/>
  <c r="C163" i="2"/>
  <c r="F163" i="2" s="1"/>
  <c r="C159" i="2"/>
  <c r="F159" i="2" s="1"/>
  <c r="C155" i="2"/>
  <c r="F155" i="2" s="1"/>
  <c r="C151" i="2"/>
  <c r="F151" i="2" s="1"/>
  <c r="C147" i="2"/>
  <c r="F147" i="2" s="1"/>
  <c r="C143" i="2"/>
  <c r="F143" i="2" s="1"/>
  <c r="C139" i="2"/>
  <c r="F139" i="2" s="1"/>
  <c r="C135" i="2"/>
  <c r="F135" i="2" s="1"/>
  <c r="C131" i="2"/>
  <c r="F131" i="2" s="1"/>
  <c r="C127" i="2"/>
  <c r="F127" i="2" s="1"/>
  <c r="C123" i="2"/>
  <c r="F123" i="2" s="1"/>
  <c r="C119" i="2"/>
  <c r="F119" i="2" s="1"/>
  <c r="C115" i="2"/>
  <c r="F115" i="2" s="1"/>
  <c r="C111" i="2"/>
  <c r="F111" i="2" s="1"/>
  <c r="C107" i="2"/>
  <c r="F107" i="2" s="1"/>
  <c r="C103" i="2"/>
  <c r="F103" i="2" s="1"/>
  <c r="C99" i="2"/>
  <c r="F99" i="2" s="1"/>
  <c r="C95" i="2"/>
  <c r="F95" i="2" s="1"/>
  <c r="C91" i="2"/>
  <c r="F91" i="2" s="1"/>
  <c r="C87" i="2"/>
  <c r="F87" i="2" s="1"/>
  <c r="C83" i="2"/>
  <c r="F83" i="2" s="1"/>
  <c r="C76" i="2"/>
  <c r="F76" i="2" s="1"/>
  <c r="C72" i="2"/>
  <c r="F72" i="2" s="1"/>
  <c r="C64" i="2"/>
  <c r="F64" i="2" s="1"/>
  <c r="C56" i="2"/>
  <c r="F56" i="2" s="1"/>
  <c r="C48" i="2"/>
  <c r="F48" i="2" s="1"/>
  <c r="C40" i="2"/>
  <c r="F40" i="2" s="1"/>
  <c r="C32" i="2"/>
  <c r="F32" i="2" s="1"/>
  <c r="C24" i="2"/>
  <c r="F24" i="2" s="1"/>
  <c r="C16" i="2"/>
  <c r="F16" i="2" s="1"/>
  <c r="C8" i="2"/>
  <c r="F8" i="2" s="1"/>
  <c r="D2" i="2"/>
  <c r="D4" i="2"/>
  <c r="D6" i="2"/>
  <c r="D8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D50" i="2"/>
  <c r="D52" i="2"/>
  <c r="D54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3" i="2"/>
  <c r="D5" i="2"/>
  <c r="D7" i="2"/>
  <c r="D9" i="2"/>
  <c r="D11" i="2"/>
  <c r="D13" i="2"/>
  <c r="D15" i="2"/>
  <c r="D17" i="2"/>
  <c r="D19" i="2"/>
  <c r="D21" i="2"/>
  <c r="D23" i="2"/>
  <c r="D25" i="2"/>
  <c r="D27" i="2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2" i="2"/>
  <c r="D84" i="2"/>
  <c r="D86" i="2"/>
  <c r="D88" i="2"/>
  <c r="D90" i="2"/>
  <c r="D92" i="2"/>
  <c r="D94" i="2"/>
  <c r="D96" i="2"/>
  <c r="D98" i="2"/>
  <c r="D100" i="2"/>
  <c r="D102" i="2"/>
  <c r="D104" i="2"/>
  <c r="D106" i="2"/>
  <c r="D108" i="2"/>
  <c r="D110" i="2"/>
  <c r="D112" i="2"/>
  <c r="D114" i="2"/>
  <c r="D116" i="2"/>
  <c r="D118" i="2"/>
  <c r="D120" i="2"/>
  <c r="D122" i="2"/>
  <c r="D119" i="2"/>
  <c r="D123" i="2"/>
  <c r="D125" i="2"/>
  <c r="D127" i="2"/>
  <c r="D129" i="2"/>
  <c r="D131" i="2"/>
  <c r="D133" i="2"/>
  <c r="D135" i="2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2" i="2"/>
  <c r="D194" i="2"/>
  <c r="D196" i="2"/>
  <c r="D198" i="2"/>
  <c r="D200" i="2"/>
  <c r="D202" i="2"/>
  <c r="D204" i="2"/>
  <c r="D206" i="2"/>
  <c r="D208" i="2"/>
  <c r="D210" i="2"/>
  <c r="D212" i="2"/>
  <c r="D214" i="2"/>
  <c r="D216" i="2"/>
  <c r="D218" i="2"/>
  <c r="D220" i="2"/>
  <c r="D222" i="2"/>
  <c r="D224" i="2"/>
  <c r="D226" i="2"/>
  <c r="D228" i="2"/>
  <c r="D230" i="2"/>
  <c r="D232" i="2"/>
  <c r="D234" i="2"/>
  <c r="D236" i="2"/>
  <c r="D238" i="2"/>
  <c r="D240" i="2"/>
  <c r="D242" i="2"/>
  <c r="D244" i="2"/>
  <c r="D246" i="2"/>
  <c r="D248" i="2"/>
  <c r="D250" i="2"/>
  <c r="D252" i="2"/>
  <c r="D254" i="2"/>
  <c r="D256" i="2"/>
  <c r="D258" i="2"/>
  <c r="D260" i="2"/>
  <c r="D262" i="2"/>
  <c r="D264" i="2"/>
  <c r="D266" i="2"/>
  <c r="D268" i="2"/>
  <c r="D270" i="2"/>
  <c r="D272" i="2"/>
  <c r="D274" i="2"/>
  <c r="D276" i="2"/>
  <c r="D278" i="2"/>
  <c r="D280" i="2"/>
  <c r="D282" i="2"/>
  <c r="D284" i="2"/>
  <c r="D286" i="2"/>
  <c r="D288" i="2"/>
  <c r="D121" i="2"/>
  <c r="D124" i="2"/>
  <c r="D126" i="2"/>
  <c r="D128" i="2"/>
  <c r="D130" i="2"/>
  <c r="D132" i="2"/>
  <c r="D134" i="2"/>
  <c r="D136" i="2"/>
  <c r="D138" i="2"/>
  <c r="D140" i="2"/>
  <c r="D142" i="2"/>
  <c r="D144" i="2"/>
  <c r="D146" i="2"/>
  <c r="D148" i="2"/>
  <c r="D150" i="2"/>
  <c r="D152" i="2"/>
  <c r="D154" i="2"/>
  <c r="D156" i="2"/>
  <c r="D158" i="2"/>
  <c r="D160" i="2"/>
  <c r="D162" i="2"/>
  <c r="D164" i="2"/>
  <c r="D166" i="2"/>
  <c r="D168" i="2"/>
  <c r="D170" i="2"/>
  <c r="D172" i="2"/>
  <c r="D174" i="2"/>
  <c r="D176" i="2"/>
  <c r="D178" i="2"/>
  <c r="D180" i="2"/>
  <c r="D182" i="2"/>
  <c r="D184" i="2"/>
  <c r="D186" i="2"/>
  <c r="D188" i="2"/>
  <c r="D190" i="2"/>
  <c r="D191" i="2"/>
  <c r="D193" i="2"/>
  <c r="D195" i="2"/>
  <c r="D197" i="2"/>
  <c r="D199" i="2"/>
  <c r="D201" i="2"/>
  <c r="D203" i="2"/>
  <c r="D205" i="2"/>
  <c r="D207" i="2"/>
  <c r="D209" i="2"/>
  <c r="D211" i="2"/>
  <c r="D213" i="2"/>
  <c r="D215" i="2"/>
  <c r="D217" i="2"/>
  <c r="D219" i="2"/>
  <c r="D221" i="2"/>
  <c r="D223" i="2"/>
  <c r="D225" i="2"/>
  <c r="D227" i="2"/>
  <c r="D229" i="2"/>
  <c r="D231" i="2"/>
  <c r="D233" i="2"/>
  <c r="D235" i="2"/>
  <c r="D237" i="2"/>
  <c r="D239" i="2"/>
  <c r="D241" i="2"/>
  <c r="D243" i="2"/>
  <c r="D245" i="2"/>
  <c r="D247" i="2"/>
  <c r="D249" i="2"/>
  <c r="D251" i="2"/>
  <c r="D253" i="2"/>
  <c r="D255" i="2"/>
  <c r="D257" i="2"/>
  <c r="D259" i="2"/>
  <c r="D261" i="2"/>
  <c r="D263" i="2"/>
  <c r="D265" i="2"/>
  <c r="D267" i="2"/>
  <c r="D269" i="2"/>
  <c r="D271" i="2"/>
  <c r="D273" i="2"/>
  <c r="D275" i="2"/>
  <c r="D277" i="2"/>
  <c r="D279" i="2"/>
  <c r="D281" i="2"/>
  <c r="D283" i="2"/>
  <c r="D285" i="2"/>
  <c r="D287" i="2"/>
  <c r="D289" i="2"/>
  <c r="D291" i="2"/>
  <c r="D290" i="2"/>
  <c r="D293" i="2"/>
  <c r="D295" i="2"/>
  <c r="D297" i="2"/>
  <c r="D299" i="2"/>
  <c r="D301" i="2"/>
  <c r="D303" i="2"/>
  <c r="D305" i="2"/>
  <c r="D307" i="2"/>
  <c r="D309" i="2"/>
  <c r="D311" i="2"/>
  <c r="D313" i="2"/>
  <c r="D315" i="2"/>
  <c r="D317" i="2"/>
  <c r="D319" i="2"/>
  <c r="D321" i="2"/>
  <c r="D323" i="2"/>
  <c r="D325" i="2"/>
  <c r="D327" i="2"/>
  <c r="D329" i="2"/>
  <c r="D331" i="2"/>
  <c r="D333" i="2"/>
  <c r="D335" i="2"/>
  <c r="D337" i="2"/>
  <c r="D339" i="2"/>
  <c r="D341" i="2"/>
  <c r="D343" i="2"/>
  <c r="D345" i="2"/>
  <c r="D347" i="2"/>
  <c r="D349" i="2"/>
  <c r="D351" i="2"/>
  <c r="D353" i="2"/>
  <c r="D355" i="2"/>
  <c r="D357" i="2"/>
  <c r="D359" i="2"/>
  <c r="D361" i="2"/>
  <c r="D363" i="2"/>
  <c r="D365" i="2"/>
  <c r="D367" i="2"/>
  <c r="D369" i="2"/>
  <c r="D371" i="2"/>
  <c r="D373" i="2"/>
  <c r="D375" i="2"/>
  <c r="D377" i="2"/>
  <c r="D379" i="2"/>
  <c r="D381" i="2"/>
  <c r="D383" i="2"/>
  <c r="D385" i="2"/>
  <c r="D387" i="2"/>
  <c r="D389" i="2"/>
  <c r="D391" i="2"/>
  <c r="D393" i="2"/>
  <c r="D395" i="2"/>
  <c r="D397" i="2"/>
  <c r="D399" i="2"/>
  <c r="D401" i="2"/>
  <c r="D403" i="2"/>
  <c r="D405" i="2"/>
  <c r="D407" i="2"/>
  <c r="D409" i="2"/>
  <c r="D411" i="2"/>
  <c r="D413" i="2"/>
  <c r="D415" i="2"/>
  <c r="D417" i="2"/>
  <c r="D419" i="2"/>
  <c r="D421" i="2"/>
  <c r="D423" i="2"/>
  <c r="D425" i="2"/>
  <c r="D427" i="2"/>
  <c r="D429" i="2"/>
  <c r="D431" i="2"/>
  <c r="D433" i="2"/>
  <c r="D435" i="2"/>
  <c r="D437" i="2"/>
  <c r="D439" i="2"/>
  <c r="D441" i="2"/>
  <c r="D443" i="2"/>
  <c r="D445" i="2"/>
  <c r="D447" i="2"/>
  <c r="D449" i="2"/>
  <c r="D451" i="2"/>
  <c r="D453" i="2"/>
  <c r="D455" i="2"/>
  <c r="D457" i="2"/>
  <c r="D459" i="2"/>
  <c r="D461" i="2"/>
  <c r="D463" i="2"/>
  <c r="D465" i="2"/>
  <c r="D467" i="2"/>
  <c r="D469" i="2"/>
  <c r="D471" i="2"/>
  <c r="D473" i="2"/>
  <c r="D475" i="2"/>
  <c r="D477" i="2"/>
  <c r="D479" i="2"/>
  <c r="D481" i="2"/>
  <c r="D483" i="2"/>
  <c r="D485" i="2"/>
  <c r="D487" i="2"/>
  <c r="D489" i="2"/>
  <c r="D491" i="2"/>
  <c r="D493" i="2"/>
  <c r="D495" i="2"/>
  <c r="D497" i="2"/>
  <c r="D499" i="2"/>
  <c r="D501" i="2"/>
  <c r="D503" i="2"/>
  <c r="D505" i="2"/>
  <c r="D507" i="2"/>
  <c r="D509" i="2"/>
  <c r="D511" i="2"/>
  <c r="D513" i="2"/>
  <c r="D515" i="2"/>
  <c r="D517" i="2"/>
  <c r="D519" i="2"/>
  <c r="D521" i="2"/>
  <c r="D292" i="2"/>
  <c r="D294" i="2"/>
  <c r="D296" i="2"/>
  <c r="D298" i="2"/>
  <c r="D300" i="2"/>
  <c r="D302" i="2"/>
  <c r="D304" i="2"/>
  <c r="D306" i="2"/>
  <c r="D308" i="2"/>
  <c r="D310" i="2"/>
  <c r="D312" i="2"/>
  <c r="D314" i="2"/>
  <c r="D316" i="2"/>
  <c r="D318" i="2"/>
  <c r="D320" i="2"/>
  <c r="D322" i="2"/>
  <c r="D324" i="2"/>
  <c r="D326" i="2"/>
  <c r="D328" i="2"/>
  <c r="D330" i="2"/>
  <c r="D332" i="2"/>
  <c r="D334" i="2"/>
  <c r="D336" i="2"/>
  <c r="D338" i="2"/>
  <c r="D340" i="2"/>
  <c r="D342" i="2"/>
  <c r="D344" i="2"/>
  <c r="D346" i="2"/>
  <c r="D348" i="2"/>
  <c r="D350" i="2"/>
  <c r="D352" i="2"/>
  <c r="D354" i="2"/>
  <c r="D356" i="2"/>
  <c r="D358" i="2"/>
  <c r="D360" i="2"/>
  <c r="D362" i="2"/>
  <c r="D364" i="2"/>
  <c r="D366" i="2"/>
  <c r="D368" i="2"/>
  <c r="D370" i="2"/>
  <c r="D372" i="2"/>
  <c r="D374" i="2"/>
  <c r="D376" i="2"/>
  <c r="D378" i="2"/>
  <c r="D380" i="2"/>
  <c r="D382" i="2"/>
  <c r="D384" i="2"/>
  <c r="D386" i="2"/>
  <c r="D388" i="2"/>
  <c r="D390" i="2"/>
  <c r="D392" i="2"/>
  <c r="D394" i="2"/>
  <c r="D396" i="2"/>
  <c r="D398" i="2"/>
  <c r="D400" i="2"/>
  <c r="D402" i="2"/>
  <c r="D404" i="2"/>
  <c r="D406" i="2"/>
  <c r="D408" i="2"/>
  <c r="D410" i="2"/>
  <c r="D412" i="2"/>
  <c r="D414" i="2"/>
  <c r="D416" i="2"/>
  <c r="D418" i="2"/>
  <c r="D420" i="2"/>
  <c r="D422" i="2"/>
  <c r="D424" i="2"/>
  <c r="D426" i="2"/>
  <c r="D428" i="2"/>
  <c r="D430" i="2"/>
  <c r="D432" i="2"/>
  <c r="D434" i="2"/>
  <c r="D436" i="2"/>
  <c r="D438" i="2"/>
  <c r="D440" i="2"/>
  <c r="D442" i="2"/>
  <c r="D444" i="2"/>
  <c r="D446" i="2"/>
  <c r="D448" i="2"/>
  <c r="D450" i="2"/>
  <c r="D452" i="2"/>
  <c r="D454" i="2"/>
  <c r="D456" i="2"/>
  <c r="D458" i="2"/>
  <c r="D460" i="2"/>
  <c r="D462" i="2"/>
  <c r="D464" i="2"/>
  <c r="D466" i="2"/>
  <c r="D468" i="2"/>
  <c r="D470" i="2"/>
  <c r="D472" i="2"/>
  <c r="D474" i="2"/>
  <c r="D476" i="2"/>
  <c r="D478" i="2"/>
  <c r="D480" i="2"/>
  <c r="D482" i="2"/>
  <c r="D484" i="2"/>
  <c r="D486" i="2"/>
  <c r="D488" i="2"/>
  <c r="D490" i="2"/>
  <c r="D492" i="2"/>
  <c r="D494" i="2"/>
  <c r="D496" i="2"/>
  <c r="D498" i="2"/>
  <c r="D500" i="2"/>
  <c r="D502" i="2"/>
  <c r="D504" i="2"/>
  <c r="D506" i="2"/>
  <c r="D508" i="2"/>
  <c r="D510" i="2"/>
  <c r="D512" i="2"/>
  <c r="D514" i="2"/>
  <c r="D516" i="2"/>
  <c r="D518" i="2"/>
  <c r="D520" i="2"/>
  <c r="D522" i="2"/>
  <c r="R4" i="2" l="1"/>
  <c r="K1" i="2"/>
  <c r="M4" i="2" s="1"/>
  <c r="O3" i="2"/>
  <c r="M3" i="2"/>
  <c r="O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eraterm" description="Connection to the 'teraterm' query in the workbook." type="5" refreshedVersion="6" background="1" saveData="1">
    <dbPr connection="Provider=Microsoft.Mashup.OleDb.1;Data Source=$Workbook$;Location=teraterm;Extended Properties=&quot;&quot;" command="SELECT * FROM [teraterm]"/>
  </connection>
</connections>
</file>

<file path=xl/sharedStrings.xml><?xml version="1.0" encoding="utf-8"?>
<sst xmlns="http://schemas.openxmlformats.org/spreadsheetml/2006/main" count="438" uniqueCount="271">
  <si>
    <t>Column1</t>
  </si>
  <si>
    <t>Column2</t>
  </si>
  <si>
    <t>offset</t>
  </si>
  <si>
    <t>r1</t>
  </si>
  <si>
    <t>r2</t>
  </si>
  <si>
    <t>V(V)</t>
  </si>
  <si>
    <t>Value(V)</t>
  </si>
  <si>
    <t>V²</t>
  </si>
  <si>
    <t>Vrms</t>
  </si>
  <si>
    <t>vmains</t>
  </si>
  <si>
    <t>gain error</t>
  </si>
  <si>
    <t>min</t>
  </si>
  <si>
    <t>max</t>
  </si>
  <si>
    <t xml:space="preserve">gain  </t>
  </si>
  <si>
    <t>gain adc</t>
  </si>
  <si>
    <t>total</t>
  </si>
  <si>
    <t>gain Rs</t>
  </si>
  <si>
    <t>v</t>
  </si>
  <si>
    <t>i</t>
  </si>
  <si>
    <t>ioffset</t>
  </si>
  <si>
    <t>I(mA)</t>
  </si>
  <si>
    <t>1519</t>
  </si>
  <si>
    <t>246</t>
  </si>
  <si>
    <t>1328</t>
  </si>
  <si>
    <t>527</t>
  </si>
  <si>
    <t>243</t>
  </si>
  <si>
    <t>356</t>
  </si>
  <si>
    <t>244</t>
  </si>
  <si>
    <t>248</t>
  </si>
  <si>
    <t>4025</t>
  </si>
  <si>
    <t>4013</t>
  </si>
  <si>
    <t>1101</t>
  </si>
  <si>
    <t>288</t>
  </si>
  <si>
    <t>259</t>
  </si>
  <si>
    <t>247</t>
  </si>
  <si>
    <t>253</t>
  </si>
  <si>
    <t>314</t>
  </si>
  <si>
    <t>473</t>
  </si>
  <si>
    <t>689</t>
  </si>
  <si>
    <t>890</t>
  </si>
  <si>
    <t>1350</t>
  </si>
  <si>
    <t>1598</t>
  </si>
  <si>
    <t>1859</t>
  </si>
  <si>
    <t>2138</t>
  </si>
  <si>
    <t>2418</t>
  </si>
  <si>
    <t>2657</t>
  </si>
  <si>
    <t>2900</t>
  </si>
  <si>
    <t>3135</t>
  </si>
  <si>
    <t>3345</t>
  </si>
  <si>
    <t>3545</t>
  </si>
  <si>
    <t>3722</t>
  </si>
  <si>
    <t>3854</t>
  </si>
  <si>
    <t>3951</t>
  </si>
  <si>
    <t>3992</t>
  </si>
  <si>
    <t>4010</t>
  </si>
  <si>
    <t>4021</t>
  </si>
  <si>
    <t>4024</t>
  </si>
  <si>
    <t>3997</t>
  </si>
  <si>
    <t>3884</t>
  </si>
  <si>
    <t>3683</t>
  </si>
  <si>
    <t>3495</t>
  </si>
  <si>
    <t>3300</t>
  </si>
  <si>
    <t>3067</t>
  </si>
  <si>
    <t>2824</t>
  </si>
  <si>
    <t>2575</t>
  </si>
  <si>
    <t>2297</t>
  </si>
  <si>
    <t>2011</t>
  </si>
  <si>
    <t>1754</t>
  </si>
  <si>
    <t>1507</t>
  </si>
  <si>
    <t>1253</t>
  </si>
  <si>
    <t>1024</t>
  </si>
  <si>
    <t>816</t>
  </si>
  <si>
    <t>615</t>
  </si>
  <si>
    <t>451</t>
  </si>
  <si>
    <t>336</t>
  </si>
  <si>
    <t>273</t>
  </si>
  <si>
    <t>254</t>
  </si>
  <si>
    <t>264</t>
  </si>
  <si>
    <t>549</t>
  </si>
  <si>
    <t>757</t>
  </si>
  <si>
    <t>958</t>
  </si>
  <si>
    <t>1186</t>
  </si>
  <si>
    <t>1436</t>
  </si>
  <si>
    <t>1684</t>
  </si>
  <si>
    <t>1955</t>
  </si>
  <si>
    <t>2238</t>
  </si>
  <si>
    <t>2500</t>
  </si>
  <si>
    <t>2740</t>
  </si>
  <si>
    <t>2984</t>
  </si>
  <si>
    <t>3209</t>
  </si>
  <si>
    <t>3412</t>
  </si>
  <si>
    <t>3611</t>
  </si>
  <si>
    <t>3772</t>
  </si>
  <si>
    <t>3891</t>
  </si>
  <si>
    <t>3969</t>
  </si>
  <si>
    <t>3998</t>
  </si>
  <si>
    <t>4023</t>
  </si>
  <si>
    <t>3966</t>
  </si>
  <si>
    <t>3815</t>
  </si>
  <si>
    <t>3620</t>
  </si>
  <si>
    <t>3429</t>
  </si>
  <si>
    <t>3222</t>
  </si>
  <si>
    <t>2982</t>
  </si>
  <si>
    <t>2741</t>
  </si>
  <si>
    <t>2481</t>
  </si>
  <si>
    <t>2199</t>
  </si>
  <si>
    <t>1918</t>
  </si>
  <si>
    <t>1668</t>
  </si>
  <si>
    <t>1418</t>
  </si>
  <si>
    <t>1171</t>
  </si>
  <si>
    <t>949</t>
  </si>
  <si>
    <t>740</t>
  </si>
  <si>
    <t>553</t>
  </si>
  <si>
    <t>408</t>
  </si>
  <si>
    <t>305</t>
  </si>
  <si>
    <t>249</t>
  </si>
  <si>
    <t>281</t>
  </si>
  <si>
    <t>406</t>
  </si>
  <si>
    <t>622</t>
  </si>
  <si>
    <t>825</t>
  </si>
  <si>
    <t>1032</t>
  </si>
  <si>
    <t>1270</t>
  </si>
  <si>
    <t>1773</t>
  </si>
  <si>
    <t>2052</t>
  </si>
  <si>
    <t>2335</t>
  </si>
  <si>
    <t>2582</t>
  </si>
  <si>
    <t>3063</t>
  </si>
  <si>
    <t>3281</t>
  </si>
  <si>
    <t>3479</t>
  </si>
  <si>
    <t>3667</t>
  </si>
  <si>
    <t>3818</t>
  </si>
  <si>
    <t>3925</t>
  </si>
  <si>
    <t>3981</t>
  </si>
  <si>
    <t>4003</t>
  </si>
  <si>
    <t>4017</t>
  </si>
  <si>
    <t>4011</t>
  </si>
  <si>
    <t>3928</t>
  </si>
  <si>
    <t>3744</t>
  </si>
  <si>
    <t>3549</t>
  </si>
  <si>
    <t>3363</t>
  </si>
  <si>
    <t>3142</t>
  </si>
  <si>
    <t>2895</t>
  </si>
  <si>
    <t>2654</t>
  </si>
  <si>
    <t>2383</t>
  </si>
  <si>
    <t>2100</t>
  </si>
  <si>
    <t>1831</t>
  </si>
  <si>
    <t>1582</t>
  </si>
  <si>
    <t>1091</t>
  </si>
  <si>
    <t>877</t>
  </si>
  <si>
    <t>669</t>
  </si>
  <si>
    <t>495</t>
  </si>
  <si>
    <t>367</t>
  </si>
  <si>
    <t>284</t>
  </si>
  <si>
    <t>257</t>
  </si>
  <si>
    <t>245</t>
  </si>
  <si>
    <t>241</t>
  </si>
  <si>
    <t>251</t>
  </si>
  <si>
    <t>316</t>
  </si>
  <si>
    <t>481</t>
  </si>
  <si>
    <t>691</t>
  </si>
  <si>
    <t>892</t>
  </si>
  <si>
    <t>1110</t>
  </si>
  <si>
    <t>1358</t>
  </si>
  <si>
    <t>1604</t>
  </si>
  <si>
    <t>1866</t>
  </si>
  <si>
    <t>2148</t>
  </si>
  <si>
    <t>2425</t>
  </si>
  <si>
    <t>2663</t>
  </si>
  <si>
    <t>2906</t>
  </si>
  <si>
    <t>3353</t>
  </si>
  <si>
    <t>3551</t>
  </si>
  <si>
    <t>3724</t>
  </si>
  <si>
    <t>3856</t>
  </si>
  <si>
    <t>3990</t>
  </si>
  <si>
    <t>4008</t>
  </si>
  <si>
    <t>4020</t>
  </si>
  <si>
    <t>4022</t>
  </si>
  <si>
    <t>3994</t>
  </si>
  <si>
    <t>3879</t>
  </si>
  <si>
    <t>3675</t>
  </si>
  <si>
    <t>3875</t>
  </si>
  <si>
    <t>3961</t>
  </si>
  <si>
    <t>4014</t>
  </si>
  <si>
    <t>3987</t>
  </si>
  <si>
    <t>3857</t>
  </si>
  <si>
    <t>3655</t>
  </si>
  <si>
    <t>3466</t>
  </si>
  <si>
    <t>3267</t>
  </si>
  <si>
    <t>3030</t>
  </si>
  <si>
    <t>2789</t>
  </si>
  <si>
    <t>2536</t>
  </si>
  <si>
    <t>2255</t>
  </si>
  <si>
    <t>1968</t>
  </si>
  <si>
    <t>1715</t>
  </si>
  <si>
    <t>1464</t>
  </si>
  <si>
    <t>1217</t>
  </si>
  <si>
    <t>992</t>
  </si>
  <si>
    <t>781</t>
  </si>
  <si>
    <t>582</t>
  </si>
  <si>
    <t>433</t>
  </si>
  <si>
    <t>325</t>
  </si>
  <si>
    <t>271</t>
  </si>
  <si>
    <t>275</t>
  </si>
  <si>
    <t>381</t>
  </si>
  <si>
    <t>587</t>
  </si>
  <si>
    <t>788</t>
  </si>
  <si>
    <t>1230</t>
  </si>
  <si>
    <t>1476</t>
  </si>
  <si>
    <t>1727</t>
  </si>
  <si>
    <t>2001</t>
  </si>
  <si>
    <t>2280</t>
  </si>
  <si>
    <t>2540</t>
  </si>
  <si>
    <t>2784</t>
  </si>
  <si>
    <t>3023</t>
  </si>
  <si>
    <t>3248</t>
  </si>
  <si>
    <t>3449</t>
  </si>
  <si>
    <t>3642</t>
  </si>
  <si>
    <t>3796</t>
  </si>
  <si>
    <t>3909</t>
  </si>
  <si>
    <t>3978</t>
  </si>
  <si>
    <t>4004</t>
  </si>
  <si>
    <t>4018</t>
  </si>
  <si>
    <t>4016</t>
  </si>
  <si>
    <t>3786</t>
  </si>
  <si>
    <t>3590</t>
  </si>
  <si>
    <t>3400</t>
  </si>
  <si>
    <t>3186</t>
  </si>
  <si>
    <t>2943</t>
  </si>
  <si>
    <t>2703</t>
  </si>
  <si>
    <t>2441</t>
  </si>
  <si>
    <t>2154</t>
  </si>
  <si>
    <t>1877</t>
  </si>
  <si>
    <t>1628</t>
  </si>
  <si>
    <t>1376</t>
  </si>
  <si>
    <t>1134</t>
  </si>
  <si>
    <t>915</t>
  </si>
  <si>
    <t>707</t>
  </si>
  <si>
    <t>388</t>
  </si>
  <si>
    <t>296</t>
  </si>
  <si>
    <t>263</t>
  </si>
  <si>
    <t>298</t>
  </si>
  <si>
    <t>443</t>
  </si>
  <si>
    <t>661</t>
  </si>
  <si>
    <t>858</t>
  </si>
  <si>
    <t>1067</t>
  </si>
  <si>
    <t>1315</t>
  </si>
  <si>
    <t>1560</t>
  </si>
  <si>
    <t>1817</t>
  </si>
  <si>
    <t>2099</t>
  </si>
  <si>
    <t>2380</t>
  </si>
  <si>
    <t>2622</t>
  </si>
  <si>
    <t>2867</t>
  </si>
  <si>
    <t>3103</t>
  </si>
  <si>
    <t>3317</t>
  </si>
  <si>
    <t>3518</t>
  </si>
  <si>
    <t>3702</t>
  </si>
  <si>
    <t>3839</t>
  </si>
  <si>
    <t>3939</t>
  </si>
  <si>
    <t>3988</t>
  </si>
  <si>
    <t>3908</t>
  </si>
  <si>
    <t>3718</t>
  </si>
  <si>
    <t>3524</t>
  </si>
  <si>
    <t>3331</t>
  </si>
  <si>
    <t>2863</t>
  </si>
  <si>
    <t>2615</t>
  </si>
  <si>
    <t>2340</t>
  </si>
  <si>
    <t>2056</t>
  </si>
  <si>
    <t>1791</t>
  </si>
  <si>
    <t>1537</t>
  </si>
  <si>
    <t>1289</t>
  </si>
  <si>
    <t>1056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</si>
</sst>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595030157041399E-2"/>
          <c:y val="7.2607260726072612E-2"/>
          <c:w val="0.84006932989776317"/>
          <c:h val="0.88713442997843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V(V)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Sheet2!$C$2:$C$60</c:f>
              <c:numCache>
                <c:formatCode>0.00</c:formatCode>
                <c:ptCount val="59"/>
                <c:pt idx="0">
                  <c:v>32.989257812500007</c:v>
                </c:pt>
                <c:pt idx="1">
                  <c:v>29.757202148437504</c:v>
                </c:pt>
                <c:pt idx="2">
                  <c:v>28.419799804687504</c:v>
                </c:pt>
                <c:pt idx="3">
                  <c:v>27.973999023437504</c:v>
                </c:pt>
                <c:pt idx="4">
                  <c:v>29.088500976562504</c:v>
                </c:pt>
                <c:pt idx="5">
                  <c:v>35.886962890625007</c:v>
                </c:pt>
                <c:pt idx="6">
                  <c:v>53.607543945312507</c:v>
                </c:pt>
                <c:pt idx="7">
                  <c:v>77.680786132812514</c:v>
                </c:pt>
                <c:pt idx="8">
                  <c:v>100.08227539062501</c:v>
                </c:pt>
                <c:pt idx="9">
                  <c:v>123.59826660156251</c:v>
                </c:pt>
                <c:pt idx="10">
                  <c:v>151.34936523437503</c:v>
                </c:pt>
                <c:pt idx="11">
                  <c:v>178.98901367187503</c:v>
                </c:pt>
                <c:pt idx="12">
                  <c:v>208.07751464843753</c:v>
                </c:pt>
                <c:pt idx="13">
                  <c:v>239.17211914062503</c:v>
                </c:pt>
                <c:pt idx="14">
                  <c:v>270.37817382812506</c:v>
                </c:pt>
                <c:pt idx="15">
                  <c:v>297.01477050781256</c:v>
                </c:pt>
                <c:pt idx="16">
                  <c:v>324.09716796875006</c:v>
                </c:pt>
                <c:pt idx="17">
                  <c:v>350.28796386718756</c:v>
                </c:pt>
                <c:pt idx="18">
                  <c:v>373.69250488281256</c:v>
                </c:pt>
                <c:pt idx="19">
                  <c:v>395.98254394531256</c:v>
                </c:pt>
                <c:pt idx="20">
                  <c:v>415.70922851562506</c:v>
                </c:pt>
                <c:pt idx="21">
                  <c:v>430.42065429687506</c:v>
                </c:pt>
                <c:pt idx="22">
                  <c:v>441.23132324218756</c:v>
                </c:pt>
                <c:pt idx="23">
                  <c:v>445.80078125000006</c:v>
                </c:pt>
                <c:pt idx="24">
                  <c:v>447.80688476562506</c:v>
                </c:pt>
                <c:pt idx="25">
                  <c:v>449.03283691406256</c:v>
                </c:pt>
                <c:pt idx="26">
                  <c:v>449.36718750000006</c:v>
                </c:pt>
                <c:pt idx="27">
                  <c:v>446.35803222656256</c:v>
                </c:pt>
                <c:pt idx="28">
                  <c:v>433.76416015625006</c:v>
                </c:pt>
                <c:pt idx="29">
                  <c:v>411.36267089843756</c:v>
                </c:pt>
                <c:pt idx="30">
                  <c:v>390.41003417968756</c:v>
                </c:pt>
                <c:pt idx="31">
                  <c:v>368.67724609375006</c:v>
                </c:pt>
                <c:pt idx="32">
                  <c:v>342.70935058593756</c:v>
                </c:pt>
                <c:pt idx="33">
                  <c:v>315.62695312500006</c:v>
                </c:pt>
                <c:pt idx="34">
                  <c:v>287.87585449218756</c:v>
                </c:pt>
                <c:pt idx="35">
                  <c:v>256.89270019531256</c:v>
                </c:pt>
                <c:pt idx="36">
                  <c:v>225.01794433593753</c:v>
                </c:pt>
                <c:pt idx="37">
                  <c:v>196.37524414062503</c:v>
                </c:pt>
                <c:pt idx="38">
                  <c:v>168.84704589843753</c:v>
                </c:pt>
                <c:pt idx="39">
                  <c:v>140.53869628906253</c:v>
                </c:pt>
                <c:pt idx="40">
                  <c:v>115.01660156250001</c:v>
                </c:pt>
                <c:pt idx="41">
                  <c:v>91.834960937500014</c:v>
                </c:pt>
                <c:pt idx="42">
                  <c:v>69.433471679687514</c:v>
                </c:pt>
                <c:pt idx="43">
                  <c:v>51.155639648437507</c:v>
                </c:pt>
                <c:pt idx="44">
                  <c:v>38.338867187500007</c:v>
                </c:pt>
                <c:pt idx="45">
                  <c:v>31.317504882812504</c:v>
                </c:pt>
                <c:pt idx="46">
                  <c:v>29.199951171875004</c:v>
                </c:pt>
                <c:pt idx="47">
                  <c:v>28.085449218750004</c:v>
                </c:pt>
                <c:pt idx="48">
                  <c:v>27.973999023437504</c:v>
                </c:pt>
                <c:pt idx="49">
                  <c:v>30.314453125000004</c:v>
                </c:pt>
                <c:pt idx="50">
                  <c:v>40.567871093750007</c:v>
                </c:pt>
                <c:pt idx="51">
                  <c:v>62.077758789062507</c:v>
                </c:pt>
                <c:pt idx="52">
                  <c:v>85.259399414062514</c:v>
                </c:pt>
                <c:pt idx="53">
                  <c:v>107.66088867187501</c:v>
                </c:pt>
                <c:pt idx="54">
                  <c:v>133.07153320312503</c:v>
                </c:pt>
                <c:pt idx="55">
                  <c:v>160.93408203125003</c:v>
                </c:pt>
                <c:pt idx="56">
                  <c:v>188.57373046875003</c:v>
                </c:pt>
                <c:pt idx="57">
                  <c:v>218.77673339843753</c:v>
                </c:pt>
                <c:pt idx="58">
                  <c:v>250.31713867187503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080360"/>
        <c:axId val="773080688"/>
      </c:scatterChart>
      <c:scatterChart>
        <c:scatterStyle val="lineMarker"/>
        <c:varyColors val="0"/>
        <c:ser>
          <c:idx val="1"/>
          <c:order val="1"/>
          <c:tx>
            <c:strRef>
              <c:f>Sheet2!$D$1</c:f>
              <c:strCache>
                <c:ptCount val="1"/>
                <c:pt idx="0">
                  <c:v>I(mA)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Sheet2!$D$2:$D$60</c:f>
              <c:numCache>
                <c:formatCode>0.00</c:formatCode>
                <c:ptCount val="59"/>
                <c:pt idx="0">
                  <c:v>1475.4231770833333</c:v>
                </c:pt>
                <c:pt idx="1">
                  <c:v>1471.3541666666665</c:v>
                </c:pt>
                <c:pt idx="2">
                  <c:v>1479.0852864583333</c:v>
                </c:pt>
                <c:pt idx="3">
                  <c:v>1477.0507812499998</c:v>
                </c:pt>
                <c:pt idx="4">
                  <c:v>1469.7265624999998</c:v>
                </c:pt>
                <c:pt idx="5">
                  <c:v>1490.0716145833333</c:v>
                </c:pt>
                <c:pt idx="6">
                  <c:v>1510.8235677083333</c:v>
                </c:pt>
                <c:pt idx="7">
                  <c:v>-125.732421875</c:v>
                </c:pt>
                <c:pt idx="8">
                  <c:v>-107.82877604166666</c:v>
                </c:pt>
                <c:pt idx="9">
                  <c:v>-87.483723958333329</c:v>
                </c:pt>
                <c:pt idx="10">
                  <c:v>-64.290364583333329</c:v>
                </c:pt>
                <c:pt idx="11">
                  <c:v>-49.641927083333329</c:v>
                </c:pt>
                <c:pt idx="12">
                  <c:v>-29.703776041666664</c:v>
                </c:pt>
                <c:pt idx="13">
                  <c:v>-5.696614583333333</c:v>
                </c:pt>
                <c:pt idx="14">
                  <c:v>13.834635416666666</c:v>
                </c:pt>
                <c:pt idx="15">
                  <c:v>28.483072916666664</c:v>
                </c:pt>
                <c:pt idx="16">
                  <c:v>45.979817708333329</c:v>
                </c:pt>
                <c:pt idx="17">
                  <c:v>61.848958333333329</c:v>
                </c:pt>
                <c:pt idx="18">
                  <c:v>84.228515624999986</c:v>
                </c:pt>
                <c:pt idx="19">
                  <c:v>98.876953124999986</c:v>
                </c:pt>
                <c:pt idx="20">
                  <c:v>109.86328124999999</c:v>
                </c:pt>
                <c:pt idx="21">
                  <c:v>112.30468749999999</c:v>
                </c:pt>
                <c:pt idx="22">
                  <c:v>122.07031249999999</c:v>
                </c:pt>
                <c:pt idx="23">
                  <c:v>121.66341145833333</c:v>
                </c:pt>
                <c:pt idx="24">
                  <c:v>121.25651041666666</c:v>
                </c:pt>
                <c:pt idx="25">
                  <c:v>126.13932291666666</c:v>
                </c:pt>
                <c:pt idx="26">
                  <c:v>124.91861979166666</c:v>
                </c:pt>
                <c:pt idx="27">
                  <c:v>111.89778645833333</c:v>
                </c:pt>
                <c:pt idx="28">
                  <c:v>104.57356770833333</c:v>
                </c:pt>
                <c:pt idx="29">
                  <c:v>91.552734374999986</c:v>
                </c:pt>
                <c:pt idx="30">
                  <c:v>76.904296875</c:v>
                </c:pt>
                <c:pt idx="31">
                  <c:v>64.290364583333329</c:v>
                </c:pt>
                <c:pt idx="32">
                  <c:v>51.269531249999993</c:v>
                </c:pt>
                <c:pt idx="33">
                  <c:v>27.669270833333332</c:v>
                </c:pt>
                <c:pt idx="34">
                  <c:v>17.496744791666664</c:v>
                </c:pt>
                <c:pt idx="35">
                  <c:v>-6.5104166666666661</c:v>
                </c:pt>
                <c:pt idx="36">
                  <c:v>-21.972656249999996</c:v>
                </c:pt>
                <c:pt idx="37">
                  <c:v>-35.400390625</c:v>
                </c:pt>
                <c:pt idx="38">
                  <c:v>-51.269531249999993</c:v>
                </c:pt>
                <c:pt idx="39">
                  <c:v>-81.380208333333329</c:v>
                </c:pt>
                <c:pt idx="40">
                  <c:v>-100.50455729166666</c:v>
                </c:pt>
                <c:pt idx="41">
                  <c:v>-124.10481770833333</c:v>
                </c:pt>
                <c:pt idx="42">
                  <c:v>1509.1959635416665</c:v>
                </c:pt>
                <c:pt idx="43">
                  <c:v>1499.8372395833333</c:v>
                </c:pt>
                <c:pt idx="44">
                  <c:v>1481.9335937499998</c:v>
                </c:pt>
                <c:pt idx="45">
                  <c:v>1472.1679687499998</c:v>
                </c:pt>
                <c:pt idx="46">
                  <c:v>1470.9472656249998</c:v>
                </c:pt>
                <c:pt idx="47">
                  <c:v>1472.9817708333333</c:v>
                </c:pt>
                <c:pt idx="48">
                  <c:v>1472.9817708333333</c:v>
                </c:pt>
                <c:pt idx="49">
                  <c:v>1479.0852864583333</c:v>
                </c:pt>
                <c:pt idx="50">
                  <c:v>1491.2923177083333</c:v>
                </c:pt>
                <c:pt idx="51">
                  <c:v>1518.5546874999998</c:v>
                </c:pt>
                <c:pt idx="52">
                  <c:v>-126.54622395833331</c:v>
                </c:pt>
                <c:pt idx="53">
                  <c:v>-104.16666666666666</c:v>
                </c:pt>
                <c:pt idx="54">
                  <c:v>-78.531901041666657</c:v>
                </c:pt>
                <c:pt idx="55">
                  <c:v>-59.407552083333329</c:v>
                </c:pt>
                <c:pt idx="56">
                  <c:v>-43.131510416666664</c:v>
                </c:pt>
                <c:pt idx="57">
                  <c:v>-14.241536458333332</c:v>
                </c:pt>
                <c:pt idx="58">
                  <c:v>-3.6621093749999996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78304"/>
        <c:axId val="401778960"/>
      </c:scatterChart>
      <c:valAx>
        <c:axId val="773080360"/>
        <c:scaling>
          <c:orientation val="minMax"/>
          <c:max val="60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688"/>
        <c:crosses val="autoZero"/>
        <c:crossBetween val="midCat"/>
      </c:valAx>
      <c:valAx>
        <c:axId val="7730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Tension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360"/>
        <c:crosses val="autoZero"/>
        <c:crossBetween val="midCat"/>
      </c:valAx>
      <c:valAx>
        <c:axId val="401778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Courant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1778304"/>
        <c:crosses val="max"/>
        <c:crossBetween val="midCat"/>
      </c:valAx>
      <c:valAx>
        <c:axId val="4017783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77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28576</xdr:rowOff>
    </xdr:from>
    <xdr:to>
      <xdr:col>20</xdr:col>
      <xdr:colOff>323850</xdr:colOff>
      <xdr:row>21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0B3CB9-E9D4-44D3-8E21-A6F147CCB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</xdr:colOff>
      <xdr:row>0</xdr:row>
      <xdr:rowOff>47625</xdr:rowOff>
    </xdr:from>
    <xdr:to>
      <xdr:col>7</xdr:col>
      <xdr:colOff>9525</xdr:colOff>
      <xdr:row>1</xdr:row>
      <xdr:rowOff>171450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E36F7E39-3066-4D12-A26B-B28A0477BB3F}"/>
            </a:ext>
          </a:extLst>
        </xdr:cNvPr>
        <xdr:cNvSpPr/>
      </xdr:nvSpPr>
      <xdr:spPr>
        <a:xfrm>
          <a:off x="3162300" y="47625"/>
          <a:ext cx="5524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Query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7" unboundColumnsRight="4">
    <queryTableFields count="6">
      <queryTableField id="1" name="Column1" tableColumnId="1"/>
      <queryTableField id="2" name="Column2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94D41-142B-4326-B960-4263C333E552}" name="teraterm" displayName="teraterm" ref="A1:F702" tableType="queryTable" totalsRowShown="0" headerRowDxfId="7" dataDxfId="6">
  <autoFilter ref="A1:F702" xr:uid="{CB2F3C37-90C4-4306-B9B0-213B3A1D20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6CCB6EC-2E71-4782-BC8B-B804AB00774B}" uniqueName="1" name="Column1" queryTableFieldId="1" dataDxfId="5"/>
    <tableColumn id="2" xr3:uid="{147C4680-2907-4E5E-A4F0-91C8FD2210DA}" uniqueName="2" name="Column2" queryTableFieldId="2" dataDxfId="4"/>
    <tableColumn id="3" xr3:uid="{82FA24D1-7923-4318-BF07-89A96DD1F29B}" uniqueName="3" name="V(V)" queryTableFieldId="3" dataDxfId="3">
      <calculatedColumnFormula>(teraterm[[#This Row],[Value(V)]]+$K$2)*$S$2</calculatedColumnFormula>
    </tableColumn>
    <tableColumn id="4" xr3:uid="{BD5BA2A1-1673-4F98-8607-21E4354686E3}" uniqueName="4" name="I(mA)" queryTableFieldId="4" dataDxfId="2">
      <calculatedColumnFormula>(MOD(teraterm[[#This Row],[Column2]],4096)-Q$4)*$S$3*1000</calculatedColumnFormula>
    </tableColumn>
    <tableColumn id="5" xr3:uid="{F283EBE1-3657-4410-9954-79EC01FD15B6}" uniqueName="5" name="Value(V)" queryTableFieldId="5" dataDxfId="1">
      <calculatedColumnFormula>IF(ABS(VALUE(teraterm[[#This Row],[Column1]]))&lt;4000,VALUE(teraterm[[#This Row],[Column1]]),0)</calculatedColumnFormula>
    </tableColumn>
    <tableColumn id="6" xr3:uid="{A526BA89-383A-494C-93E5-C20A9281FF8D}" uniqueName="6" name="V²" queryTableFieldId="6" dataDxfId="0">
      <calculatedColumnFormula>teraterm[[#This Row],[V(V)]]^2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9B1D-5EB7-476F-A909-98813A2B061E}">
  <sheetPr codeName="Sheet1"/>
  <dimension ref="A1:T605"/>
  <sheetViews>
    <sheetView tabSelected="1" zoomScaleNormal="100" workbookViewId="0">
      <selection activeCell="E2" sqref="E2"/>
    </sheetView>
  </sheetViews>
  <sheetFormatPr defaultRowHeight="15" x14ac:dyDescent="0.25"/>
  <cols>
    <col min="1" max="1" width="13.42578125" style="1" bestFit="1" customWidth="1"/>
    <col min="2" max="2" width="13.42578125" style="2" bestFit="1" customWidth="1"/>
    <col min="3" max="3" width="9.5703125" style="1" bestFit="1" customWidth="1"/>
    <col min="4" max="4" width="7.5703125" style="1" bestFit="1" customWidth="1"/>
    <col min="5" max="5" width="13.42578125" style="1" customWidth="1"/>
    <col min="6" max="6" width="9.5703125" style="1" bestFit="1" customWidth="1"/>
    <col min="7" max="7" width="8.5703125" style="1" customWidth="1"/>
    <col min="8" max="8" width="4" style="2" bestFit="1" customWidth="1"/>
    <col min="9" max="9" width="8.42578125" style="2" bestFit="1" customWidth="1"/>
    <col min="10" max="10" width="7.28515625" style="2" bestFit="1" customWidth="1"/>
    <col min="11" max="11" width="10.28515625" style="2" customWidth="1"/>
    <col min="12" max="12" width="9.5703125" style="2" bestFit="1" customWidth="1"/>
    <col min="13" max="13" width="8.85546875" style="2" customWidth="1"/>
    <col min="14" max="14" width="6.42578125" style="2" customWidth="1"/>
    <col min="15" max="15" width="8.7109375" style="2" customWidth="1"/>
    <col min="16" max="16" width="9.140625" style="2"/>
    <col min="17" max="17" width="8.140625" style="2" bestFit="1" customWidth="1"/>
    <col min="18" max="18" width="7.5703125" style="2" bestFit="1" customWidth="1"/>
    <col min="19" max="19" width="10.42578125" style="2" customWidth="1"/>
    <col min="20" max="16384" width="9.140625" style="2"/>
  </cols>
  <sheetData>
    <row r="1" spans="1:20" x14ac:dyDescent="0.25">
      <c r="A1" s="1" t="s">
        <v>0</v>
      </c>
      <c r="B1" s="2" t="s">
        <v>1</v>
      </c>
      <c r="C1" s="1" t="s">
        <v>5</v>
      </c>
      <c r="D1" s="1" t="s">
        <v>20</v>
      </c>
      <c r="E1" s="1" t="s">
        <v>6</v>
      </c>
      <c r="F1" s="1" t="s">
        <v>7</v>
      </c>
      <c r="J1" s="2" t="s">
        <v>8</v>
      </c>
      <c r="K1" s="3">
        <f>SQRT(AVERAGE(F:F))</f>
        <v>262.63192954179124</v>
      </c>
      <c r="L1" s="2" t="s">
        <v>3</v>
      </c>
      <c r="M1" s="2">
        <v>330</v>
      </c>
      <c r="N1" s="2" t="s">
        <v>4</v>
      </c>
      <c r="O1" s="2">
        <v>2</v>
      </c>
      <c r="Q1" s="2" t="s">
        <v>14</v>
      </c>
      <c r="R1" s="2" t="s">
        <v>16</v>
      </c>
      <c r="S1" s="2" t="s">
        <v>15</v>
      </c>
    </row>
    <row r="2" spans="1:20" x14ac:dyDescent="0.25">
      <c r="A2" s="1" t="s">
        <v>32</v>
      </c>
      <c r="B2" s="2">
        <v>3986</v>
      </c>
      <c r="C2" s="1">
        <f>(teraterm[[#This Row],[Value(V)]]+$K$2)*$S$2</f>
        <v>32.989257812500007</v>
      </c>
      <c r="D2" s="1">
        <f>(MOD(teraterm[[#This Row],[Column2]],4096)-Q$4)*$S$3*1000</f>
        <v>1475.4231770833333</v>
      </c>
      <c r="E2" s="1">
        <f>IF(ABS(VALUE(teraterm[[#This Row],[Column1]]))&lt;4000,VALUE(teraterm[[#This Row],[Column1]]),0)</f>
        <v>288</v>
      </c>
      <c r="F2" s="1">
        <f>teraterm[[#This Row],[V(V)]]^2</f>
        <v>1088.2911310195927</v>
      </c>
      <c r="J2" s="2" t="s">
        <v>2</v>
      </c>
      <c r="K2" s="2">
        <v>8</v>
      </c>
      <c r="L2" s="2" t="s">
        <v>11</v>
      </c>
      <c r="M2" s="1">
        <f>MIN(E:E)</f>
        <v>0</v>
      </c>
      <c r="N2" s="2" t="s">
        <v>12</v>
      </c>
      <c r="O2" s="2">
        <f>MAX(E:E)</f>
        <v>4025</v>
      </c>
      <c r="P2" s="2" t="s">
        <v>17</v>
      </c>
      <c r="Q2" s="4">
        <f>5/4096</f>
        <v>1.220703125E-3</v>
      </c>
      <c r="R2" s="4">
        <f>(M1+O1)/O1</f>
        <v>166</v>
      </c>
      <c r="S2" s="4">
        <f>R2*Q2*K4</f>
        <v>0.11145019531250001</v>
      </c>
      <c r="T2" s="4"/>
    </row>
    <row r="3" spans="1:20" x14ac:dyDescent="0.25">
      <c r="A3" s="1" t="s">
        <v>33</v>
      </c>
      <c r="B3" s="2">
        <v>3976</v>
      </c>
      <c r="C3" s="1">
        <f>(teraterm[[#This Row],[Value(V)]]+$K$2)*$S$2</f>
        <v>29.757202148437504</v>
      </c>
      <c r="D3" s="1">
        <f>(MOD(teraterm[[#This Row],[Column2]],4096)-Q$4)*$S$3*1000</f>
        <v>1471.3541666666665</v>
      </c>
      <c r="E3" s="1">
        <f>IF(ABS(VALUE(teraterm[[#This Row],[Column1]]))&lt;4095,VALUE(teraterm[[#This Row],[Column1]]),0)</f>
        <v>259</v>
      </c>
      <c r="F3" s="1">
        <f>teraterm[[#This Row],[V(V)]]^2</f>
        <v>885.49107970297359</v>
      </c>
      <c r="J3" s="2" t="s">
        <v>9</v>
      </c>
      <c r="K3" s="2">
        <v>232.9</v>
      </c>
      <c r="L3" s="2" t="s">
        <v>11</v>
      </c>
      <c r="M3" s="1">
        <f>MIN(C:C)</f>
        <v>0.89160156250000011</v>
      </c>
      <c r="N3" s="2" t="s">
        <v>12</v>
      </c>
      <c r="O3" s="1">
        <f>MAX(C:C)</f>
        <v>449.47863769531256</v>
      </c>
      <c r="P3" s="2" t="s">
        <v>18</v>
      </c>
      <c r="Q3" s="4">
        <f>2.5/4096</f>
        <v>6.103515625E-4</v>
      </c>
      <c r="R3" s="4">
        <f>1/(50*0.03)</f>
        <v>0.66666666666666663</v>
      </c>
      <c r="S3" s="6">
        <f>R3*Q3</f>
        <v>4.0690104166666663E-4</v>
      </c>
    </row>
    <row r="4" spans="1:20" x14ac:dyDescent="0.25">
      <c r="A4" s="1" t="s">
        <v>34</v>
      </c>
      <c r="B4" s="2">
        <v>3995</v>
      </c>
      <c r="C4" s="1">
        <f>(teraterm[[#This Row],[Value(V)]]+$K$2)*$S$2</f>
        <v>28.419799804687504</v>
      </c>
      <c r="D4" s="1">
        <f>(MOD(teraterm[[#This Row],[Column2]],4096)-Q$4)*$S$3*1000</f>
        <v>1479.0852864583333</v>
      </c>
      <c r="E4" s="1">
        <f>IF(ABS(VALUE(teraterm[[#This Row],[Column1]]))&lt;4095,VALUE(teraterm[[#This Row],[Column1]]),0)</f>
        <v>247</v>
      </c>
      <c r="F4" s="1">
        <f>teraterm[[#This Row],[V(V)]]^2</f>
        <v>807.68502093851589</v>
      </c>
      <c r="J4" s="2" t="s">
        <v>13</v>
      </c>
      <c r="K4" s="4">
        <v>0.55000000000000004</v>
      </c>
      <c r="L4" s="2" t="s">
        <v>10</v>
      </c>
      <c r="M4" s="5">
        <f>K3/K1 -1</f>
        <v>-0.1132075966302496</v>
      </c>
      <c r="N4" s="2" t="s">
        <v>2</v>
      </c>
      <c r="O4" s="1">
        <f>(O3+M3)/2</f>
        <v>225.18511962890628</v>
      </c>
      <c r="P4" s="2" t="s">
        <v>19</v>
      </c>
      <c r="Q4" s="1">
        <v>360</v>
      </c>
      <c r="R4" s="1">
        <f>AVERAGE(D:D)</f>
        <v>215.18817103526885</v>
      </c>
    </row>
    <row r="5" spans="1:20" x14ac:dyDescent="0.25">
      <c r="A5" s="1" t="s">
        <v>25</v>
      </c>
      <c r="B5" s="2">
        <v>3990</v>
      </c>
      <c r="C5" s="1">
        <f>(teraterm[[#This Row],[Value(V)]]+$K$2)*$S$2</f>
        <v>27.973999023437504</v>
      </c>
      <c r="D5" s="1">
        <f>(MOD(teraterm[[#This Row],[Column2]],4096)-Q$4)*$S$3*1000</f>
        <v>1477.0507812499998</v>
      </c>
      <c r="E5" s="1">
        <f>IF(ABS(VALUE(teraterm[[#This Row],[Column1]]))&lt;4095,VALUE(teraterm[[#This Row],[Column1]]),0)</f>
        <v>243</v>
      </c>
      <c r="F5" s="1">
        <f>teraterm[[#This Row],[V(V)]]^2</f>
        <v>782.54462136328243</v>
      </c>
    </row>
    <row r="6" spans="1:20" x14ac:dyDescent="0.25">
      <c r="A6" s="1" t="s">
        <v>35</v>
      </c>
      <c r="B6" s="2">
        <v>3972</v>
      </c>
      <c r="C6" s="1">
        <f>(teraterm[[#This Row],[Value(V)]]+$K$2)*$S$2</f>
        <v>29.088500976562504</v>
      </c>
      <c r="D6" s="1">
        <f>(MOD(teraterm[[#This Row],[Column2]],4096)-Q$4)*$S$3*1000</f>
        <v>1469.7265624999998</v>
      </c>
      <c r="E6" s="1">
        <f>IF(ABS(VALUE(teraterm[[#This Row],[Column1]]))&lt;4095,VALUE(teraterm[[#This Row],[Column1]]),0)</f>
        <v>253</v>
      </c>
      <c r="F6" s="1">
        <f>teraterm[[#This Row],[V(V)]]^2</f>
        <v>846.14088906347774</v>
      </c>
    </row>
    <row r="7" spans="1:20" x14ac:dyDescent="0.25">
      <c r="A7" s="1" t="s">
        <v>36</v>
      </c>
      <c r="B7" s="2">
        <v>4022</v>
      </c>
      <c r="C7" s="1">
        <f>(teraterm[[#This Row],[Value(V)]]+$K$2)*$S$2</f>
        <v>35.886962890625007</v>
      </c>
      <c r="D7" s="1">
        <f>(MOD(teraterm[[#This Row],[Column2]],4096)-Q$4)*$S$3*1000</f>
        <v>1490.0716145833333</v>
      </c>
      <c r="E7" s="1">
        <f>IF(ABS(VALUE(teraterm[[#This Row],[Column1]]))&lt;4095,VALUE(teraterm[[#This Row],[Column1]]),0)</f>
        <v>314</v>
      </c>
      <c r="F7" s="1">
        <f>teraterm[[#This Row],[V(V)]]^2</f>
        <v>1287.8741055130963</v>
      </c>
    </row>
    <row r="8" spans="1:20" x14ac:dyDescent="0.25">
      <c r="A8" s="1" t="s">
        <v>37</v>
      </c>
      <c r="B8" s="2">
        <v>4073</v>
      </c>
      <c r="C8" s="1">
        <f>(teraterm[[#This Row],[Value(V)]]+$K$2)*$S$2</f>
        <v>53.607543945312507</v>
      </c>
      <c r="D8" s="1">
        <f>(MOD(teraterm[[#This Row],[Column2]],4096)-Q$4)*$S$3*1000</f>
        <v>1510.8235677083333</v>
      </c>
      <c r="E8" s="1">
        <f>IF(ABS(VALUE(teraterm[[#This Row],[Column1]]))&lt;4095,VALUE(teraterm[[#This Row],[Column1]]),0)</f>
        <v>473</v>
      </c>
      <c r="F8" s="1">
        <f>teraterm[[#This Row],[V(V)]]^2</f>
        <v>2873.7687678486118</v>
      </c>
    </row>
    <row r="9" spans="1:20" x14ac:dyDescent="0.25">
      <c r="A9" s="1" t="s">
        <v>38</v>
      </c>
      <c r="B9" s="2">
        <v>51</v>
      </c>
      <c r="C9" s="1">
        <f>(teraterm[[#This Row],[Value(V)]]+$K$2)*$S$2</f>
        <v>77.680786132812514</v>
      </c>
      <c r="D9" s="1">
        <f>(MOD(teraterm[[#This Row],[Column2]],4096)-Q$4)*$S$3*1000</f>
        <v>-125.732421875</v>
      </c>
      <c r="E9" s="1">
        <f>IF(ABS(VALUE(teraterm[[#This Row],[Column1]]))&lt;4095,VALUE(teraterm[[#This Row],[Column1]]),0)</f>
        <v>689</v>
      </c>
      <c r="F9" s="1">
        <f>teraterm[[#This Row],[V(V)]]^2</f>
        <v>6034.3045342117566</v>
      </c>
    </row>
    <row r="10" spans="1:20" x14ac:dyDescent="0.25">
      <c r="A10" s="1" t="s">
        <v>39</v>
      </c>
      <c r="B10" s="2">
        <v>95</v>
      </c>
      <c r="C10" s="1">
        <f>(teraterm[[#This Row],[Value(V)]]+$K$2)*$S$2</f>
        <v>100.08227539062501</v>
      </c>
      <c r="D10" s="1">
        <f>(MOD(teraterm[[#This Row],[Column2]],4096)-Q$4)*$S$3*1000</f>
        <v>-107.82877604166666</v>
      </c>
      <c r="E10" s="1">
        <f>IF(ABS(VALUE(teraterm[[#This Row],[Column1]]))&lt;4095,VALUE(teraterm[[#This Row],[Column1]]),0)</f>
        <v>890</v>
      </c>
      <c r="F10" s="1">
        <f>teraterm[[#This Row],[V(V)]]^2</f>
        <v>10016.461847364906</v>
      </c>
    </row>
    <row r="11" spans="1:20" x14ac:dyDescent="0.25">
      <c r="A11" s="1" t="s">
        <v>31</v>
      </c>
      <c r="B11" s="2">
        <v>145</v>
      </c>
      <c r="C11" s="1">
        <f>(teraterm[[#This Row],[Value(V)]]+$K$2)*$S$2</f>
        <v>123.59826660156251</v>
      </c>
      <c r="D11" s="1">
        <f>(MOD(teraterm[[#This Row],[Column2]],4096)-Q$4)*$S$3*1000</f>
        <v>-87.483723958333329</v>
      </c>
      <c r="E11" s="1">
        <f>IF(ABS(VALUE(teraterm[[#This Row],[Column1]]))&lt;4095,VALUE(teraterm[[#This Row],[Column1]]),0)</f>
        <v>1101</v>
      </c>
      <c r="F11" s="1">
        <f>teraterm[[#This Row],[V(V)]]^2</f>
        <v>15276.531506910924</v>
      </c>
    </row>
    <row r="12" spans="1:20" x14ac:dyDescent="0.25">
      <c r="A12" s="1" t="s">
        <v>40</v>
      </c>
      <c r="B12" s="2">
        <v>202</v>
      </c>
      <c r="C12" s="1">
        <f>(teraterm[[#This Row],[Value(V)]]+$K$2)*$S$2</f>
        <v>151.34936523437503</v>
      </c>
      <c r="D12" s="1">
        <f>(MOD(teraterm[[#This Row],[Column2]],4096)-Q$4)*$S$3*1000</f>
        <v>-64.290364583333329</v>
      </c>
      <c r="E12" s="1">
        <f>IF(ABS(VALUE(teraterm[[#This Row],[Column1]]))&lt;4095,VALUE(teraterm[[#This Row],[Column1]]),0)</f>
        <v>1350</v>
      </c>
      <c r="F12" s="1">
        <f>teraterm[[#This Row],[V(V)]]^2</f>
        <v>22906.630356848247</v>
      </c>
    </row>
    <row r="13" spans="1:20" x14ac:dyDescent="0.25">
      <c r="A13" s="1" t="s">
        <v>41</v>
      </c>
      <c r="B13" s="2">
        <v>238</v>
      </c>
      <c r="C13" s="1">
        <f>(teraterm[[#This Row],[Value(V)]]+$K$2)*$S$2</f>
        <v>178.98901367187503</v>
      </c>
      <c r="D13" s="1">
        <f>(MOD(teraterm[[#This Row],[Column2]],4096)-Q$4)*$S$3*1000</f>
        <v>-49.641927083333329</v>
      </c>
      <c r="E13" s="1">
        <f>IF(ABS(VALUE(teraterm[[#This Row],[Column1]]))&lt;4095,VALUE(teraterm[[#This Row],[Column1]]),0)</f>
        <v>1598</v>
      </c>
      <c r="F13" s="1">
        <f>teraterm[[#This Row],[V(V)]]^2</f>
        <v>32037.067015230667</v>
      </c>
    </row>
    <row r="14" spans="1:20" x14ac:dyDescent="0.25">
      <c r="A14" s="1" t="s">
        <v>42</v>
      </c>
      <c r="B14" s="2">
        <v>287</v>
      </c>
      <c r="C14" s="1">
        <f>(teraterm[[#This Row],[Value(V)]]+$K$2)*$S$2</f>
        <v>208.07751464843753</v>
      </c>
      <c r="D14" s="1">
        <f>(MOD(teraterm[[#This Row],[Column2]],4096)-Q$4)*$S$3*1000</f>
        <v>-29.703776041666664</v>
      </c>
      <c r="E14" s="1">
        <f>IF(ABS(VALUE(teraterm[[#This Row],[Column1]]))&lt;4095,VALUE(teraterm[[#This Row],[Column1]]),0)</f>
        <v>1859</v>
      </c>
      <c r="F14" s="1">
        <f>teraterm[[#This Row],[V(V)]]^2</f>
        <v>43296.252102270737</v>
      </c>
    </row>
    <row r="15" spans="1:20" x14ac:dyDescent="0.25">
      <c r="A15" s="1" t="s">
        <v>43</v>
      </c>
      <c r="B15" s="2">
        <v>346</v>
      </c>
      <c r="C15" s="1">
        <f>(teraterm[[#This Row],[Value(V)]]+$K$2)*$S$2</f>
        <v>239.17211914062503</v>
      </c>
      <c r="D15" s="1">
        <f>(MOD(teraterm[[#This Row],[Column2]],4096)-Q$4)*$S$3*1000</f>
        <v>-5.696614583333333</v>
      </c>
      <c r="E15" s="1">
        <f>IF(ABS(VALUE(teraterm[[#This Row],[Column1]]))&lt;4095,VALUE(teraterm[[#This Row],[Column1]]),0)</f>
        <v>2138</v>
      </c>
      <c r="F15" s="1">
        <f>teraterm[[#This Row],[V(V)]]^2</f>
        <v>57203.302574217334</v>
      </c>
    </row>
    <row r="16" spans="1:20" x14ac:dyDescent="0.25">
      <c r="A16" s="1" t="s">
        <v>44</v>
      </c>
      <c r="B16" s="2">
        <v>394</v>
      </c>
      <c r="C16" s="1">
        <f>(teraterm[[#This Row],[Value(V)]]+$K$2)*$S$2</f>
        <v>270.37817382812506</v>
      </c>
      <c r="D16" s="1">
        <f>(MOD(teraterm[[#This Row],[Column2]],4096)-Q$4)*$S$3*1000</f>
        <v>13.834635416666666</v>
      </c>
      <c r="E16" s="1">
        <f>IF(ABS(VALUE(teraterm[[#This Row],[Column1]]))&lt;4095,VALUE(teraterm[[#This Row],[Column1]]),0)</f>
        <v>2418</v>
      </c>
      <c r="F16" s="1">
        <f>teraterm[[#This Row],[V(V)]]^2</f>
        <v>73104.356882631808</v>
      </c>
    </row>
    <row r="17" spans="1:6" x14ac:dyDescent="0.25">
      <c r="A17" s="1" t="s">
        <v>45</v>
      </c>
      <c r="B17" s="2">
        <v>430</v>
      </c>
      <c r="C17" s="1">
        <f>(teraterm[[#This Row],[Value(V)]]+$K$2)*$S$2</f>
        <v>297.01477050781256</v>
      </c>
      <c r="D17" s="1">
        <f>(MOD(teraterm[[#This Row],[Column2]],4096)-Q$4)*$S$3*1000</f>
        <v>28.483072916666664</v>
      </c>
      <c r="E17" s="1">
        <f>IF(ABS(VALUE(teraterm[[#This Row],[Column1]]))&lt;4095,VALUE(teraterm[[#This Row],[Column1]]),0)</f>
        <v>2657</v>
      </c>
      <c r="F17" s="1">
        <f>teraterm[[#This Row],[V(V)]]^2</f>
        <v>88217.773899808555</v>
      </c>
    </row>
    <row r="18" spans="1:6" x14ac:dyDescent="0.25">
      <c r="A18" s="1" t="s">
        <v>46</v>
      </c>
      <c r="B18" s="2">
        <v>473</v>
      </c>
      <c r="C18" s="1">
        <f>(teraterm[[#This Row],[Value(V)]]+$K$2)*$S$2</f>
        <v>324.09716796875006</v>
      </c>
      <c r="D18" s="1">
        <f>(MOD(teraterm[[#This Row],[Column2]],4096)-Q$4)*$S$3*1000</f>
        <v>45.979817708333329</v>
      </c>
      <c r="E18" s="1">
        <f>IF(ABS(VALUE(teraterm[[#This Row],[Column1]]))&lt;4095,VALUE(teraterm[[#This Row],[Column1]]),0)</f>
        <v>2900</v>
      </c>
      <c r="F18" s="1">
        <f>teraterm[[#This Row],[V(V)]]^2</f>
        <v>105038.97428536419</v>
      </c>
    </row>
    <row r="19" spans="1:6" x14ac:dyDescent="0.25">
      <c r="A19" s="1" t="s">
        <v>47</v>
      </c>
      <c r="B19" s="2">
        <v>512</v>
      </c>
      <c r="C19" s="1">
        <f>(teraterm[[#This Row],[Value(V)]]+$K$2)*$S$2</f>
        <v>350.28796386718756</v>
      </c>
      <c r="D19" s="1">
        <f>(MOD(teraterm[[#This Row],[Column2]],4096)-Q$4)*$S$3*1000</f>
        <v>61.848958333333329</v>
      </c>
      <c r="E19" s="1">
        <f>IF(ABS(VALUE(teraterm[[#This Row],[Column1]]))&lt;4095,VALUE(teraterm[[#This Row],[Column1]]),0)</f>
        <v>3135</v>
      </c>
      <c r="F19" s="1">
        <f>teraterm[[#This Row],[V(V)]]^2</f>
        <v>122701.6576302201</v>
      </c>
    </row>
    <row r="20" spans="1:6" x14ac:dyDescent="0.25">
      <c r="A20" s="1" t="s">
        <v>48</v>
      </c>
      <c r="B20" s="2">
        <v>567</v>
      </c>
      <c r="C20" s="1">
        <f>(teraterm[[#This Row],[Value(V)]]+$K$2)*$S$2</f>
        <v>373.69250488281256</v>
      </c>
      <c r="D20" s="1">
        <f>(MOD(teraterm[[#This Row],[Column2]],4096)-Q$4)*$S$3*1000</f>
        <v>84.228515624999986</v>
      </c>
      <c r="E20" s="1">
        <f>IF(ABS(VALUE(teraterm[[#This Row],[Column1]]))&lt;4095,VALUE(teraterm[[#This Row],[Column1]]),0)</f>
        <v>3345</v>
      </c>
      <c r="F20" s="1">
        <f>teraterm[[#This Row],[V(V)]]^2</f>
        <v>139646.08820559087</v>
      </c>
    </row>
    <row r="21" spans="1:6" x14ac:dyDescent="0.25">
      <c r="A21" s="1" t="s">
        <v>49</v>
      </c>
      <c r="B21" s="2">
        <v>603</v>
      </c>
      <c r="C21" s="1">
        <f>(teraterm[[#This Row],[Value(V)]]+$K$2)*$S$2</f>
        <v>395.98254394531256</v>
      </c>
      <c r="D21" s="1">
        <f>(MOD(teraterm[[#This Row],[Column2]],4096)-Q$4)*$S$3*1000</f>
        <v>98.876953124999986</v>
      </c>
      <c r="E21" s="1">
        <f>IF(ABS(VALUE(teraterm[[#This Row],[Column1]]))&lt;4095,VALUE(teraterm[[#This Row],[Column1]]),0)</f>
        <v>3545</v>
      </c>
      <c r="F21" s="1">
        <f>teraterm[[#This Row],[V(V)]]^2</f>
        <v>156802.1751094014</v>
      </c>
    </row>
    <row r="22" spans="1:6" x14ac:dyDescent="0.25">
      <c r="A22" s="1" t="s">
        <v>50</v>
      </c>
      <c r="B22" s="2">
        <v>630</v>
      </c>
      <c r="C22" s="1">
        <f>(teraterm[[#This Row],[Value(V)]]+$K$2)*$S$2</f>
        <v>415.70922851562506</v>
      </c>
      <c r="D22" s="1">
        <f>(MOD(teraterm[[#This Row],[Column2]],4096)-Q$4)*$S$3*1000</f>
        <v>109.86328124999999</v>
      </c>
      <c r="E22" s="1">
        <f>IF(ABS(VALUE(teraterm[[#This Row],[Column1]]))&lt;4095,VALUE(teraterm[[#This Row],[Column1]]),0)</f>
        <v>3722</v>
      </c>
      <c r="F22" s="1">
        <f>teraterm[[#This Row],[V(V)]]^2</f>
        <v>172814.16267305618</v>
      </c>
    </row>
    <row r="23" spans="1:6" x14ac:dyDescent="0.25">
      <c r="A23" s="1" t="s">
        <v>51</v>
      </c>
      <c r="B23" s="2">
        <v>636</v>
      </c>
      <c r="C23" s="1">
        <f>(teraterm[[#This Row],[Value(V)]]+$K$2)*$S$2</f>
        <v>430.42065429687506</v>
      </c>
      <c r="D23" s="1">
        <f>(MOD(teraterm[[#This Row],[Column2]],4096)-Q$4)*$S$3*1000</f>
        <v>112.30468749999999</v>
      </c>
      <c r="E23" s="1">
        <f>IF(ABS(VALUE(teraterm[[#This Row],[Column1]]))&lt;4095,VALUE(teraterm[[#This Row],[Column1]]),0)</f>
        <v>3854</v>
      </c>
      <c r="F23" s="1">
        <f>teraterm[[#This Row],[V(V)]]^2</f>
        <v>185261.93964535004</v>
      </c>
    </row>
    <row r="24" spans="1:6" x14ac:dyDescent="0.25">
      <c r="A24" s="1" t="s">
        <v>52</v>
      </c>
      <c r="B24" s="2">
        <v>660</v>
      </c>
      <c r="C24" s="1">
        <f>(teraterm[[#This Row],[Value(V)]]+$K$2)*$S$2</f>
        <v>441.23132324218756</v>
      </c>
      <c r="D24" s="1">
        <f>(MOD(teraterm[[#This Row],[Column2]],4096)-Q$4)*$S$3*1000</f>
        <v>122.07031249999999</v>
      </c>
      <c r="E24" s="1">
        <f>IF(ABS(VALUE(teraterm[[#This Row],[Column1]]))&lt;4095,VALUE(teraterm[[#This Row],[Column1]]),0)</f>
        <v>3951</v>
      </c>
      <c r="F24" s="1">
        <f>teraterm[[#This Row],[V(V)]]^2</f>
        <v>194685.08061005181</v>
      </c>
    </row>
    <row r="25" spans="1:6" x14ac:dyDescent="0.25">
      <c r="A25" s="1" t="s">
        <v>53</v>
      </c>
      <c r="B25" s="2">
        <v>659</v>
      </c>
      <c r="C25" s="1">
        <f>(teraterm[[#This Row],[Value(V)]]+$K$2)*$S$2</f>
        <v>445.80078125000006</v>
      </c>
      <c r="D25" s="1">
        <f>(MOD(teraterm[[#This Row],[Column2]],4096)-Q$4)*$S$3*1000</f>
        <v>121.66341145833333</v>
      </c>
      <c r="E25" s="1">
        <f>IF(ABS(VALUE(teraterm[[#This Row],[Column1]]))&lt;4095,VALUE(teraterm[[#This Row],[Column1]]),0)</f>
        <v>3992</v>
      </c>
      <c r="F25" s="1">
        <f>teraterm[[#This Row],[V(V)]]^2</f>
        <v>198738.33656311041</v>
      </c>
    </row>
    <row r="26" spans="1:6" x14ac:dyDescent="0.25">
      <c r="A26" s="1" t="s">
        <v>54</v>
      </c>
      <c r="B26" s="2">
        <v>658</v>
      </c>
      <c r="C26" s="1">
        <f>(teraterm[[#This Row],[Value(V)]]+$K$2)*$S$2</f>
        <v>447.80688476562506</v>
      </c>
      <c r="D26" s="1">
        <f>(MOD(teraterm[[#This Row],[Column2]],4096)-Q$4)*$S$3*1000</f>
        <v>121.25651041666666</v>
      </c>
      <c r="E26" s="1">
        <f>IF(ABS(VALUE(teraterm[[#This Row],[Column1]]))&lt;4095,VALUE(teraterm[[#This Row],[Column1]]),0)</f>
        <v>4010</v>
      </c>
      <c r="F26" s="1">
        <f>teraterm[[#This Row],[V(V)]]^2</f>
        <v>200531.00604349381</v>
      </c>
    </row>
    <row r="27" spans="1:6" x14ac:dyDescent="0.25">
      <c r="A27" s="1" t="s">
        <v>55</v>
      </c>
      <c r="B27" s="2">
        <v>670</v>
      </c>
      <c r="C27" s="1">
        <f>(teraterm[[#This Row],[Value(V)]]+$K$2)*$S$2</f>
        <v>449.03283691406256</v>
      </c>
      <c r="D27" s="1">
        <f>(MOD(teraterm[[#This Row],[Column2]],4096)-Q$4)*$S$3*1000</f>
        <v>126.13932291666666</v>
      </c>
      <c r="E27" s="1">
        <f>IF(ABS(VALUE(teraterm[[#This Row],[Column1]]))&lt;4095,VALUE(teraterm[[#This Row],[Column1]]),0)</f>
        <v>4021</v>
      </c>
      <c r="F27" s="1">
        <f>teraterm[[#This Row],[V(V)]]^2</f>
        <v>201630.48862709111</v>
      </c>
    </row>
    <row r="28" spans="1:6" x14ac:dyDescent="0.25">
      <c r="A28" s="1" t="s">
        <v>56</v>
      </c>
      <c r="B28" s="2">
        <v>667</v>
      </c>
      <c r="C28" s="1">
        <f>(teraterm[[#This Row],[Value(V)]]+$K$2)*$S$2</f>
        <v>449.36718750000006</v>
      </c>
      <c r="D28" s="1">
        <f>(MOD(teraterm[[#This Row],[Column2]],4096)-Q$4)*$S$3*1000</f>
        <v>124.91861979166666</v>
      </c>
      <c r="E28" s="1">
        <f>IF(ABS(VALUE(teraterm[[#This Row],[Column1]]))&lt;4095,VALUE(teraterm[[#This Row],[Column1]]),0)</f>
        <v>4024</v>
      </c>
      <c r="F28" s="1">
        <f>teraterm[[#This Row],[V(V)]]^2</f>
        <v>201930.86920166021</v>
      </c>
    </row>
    <row r="29" spans="1:6" x14ac:dyDescent="0.25">
      <c r="A29" s="1" t="s">
        <v>57</v>
      </c>
      <c r="B29" s="2">
        <v>635</v>
      </c>
      <c r="C29" s="1">
        <f>(teraterm[[#This Row],[Value(V)]]+$K$2)*$S$2</f>
        <v>446.35803222656256</v>
      </c>
      <c r="D29" s="1">
        <f>(MOD(teraterm[[#This Row],[Column2]],4096)-Q$4)*$S$3*1000</f>
        <v>111.89778645833333</v>
      </c>
      <c r="E29" s="1">
        <f>IF(ABS(VALUE(teraterm[[#This Row],[Column1]]))&lt;4095,VALUE(teraterm[[#This Row],[Column1]]),0)</f>
        <v>3997</v>
      </c>
      <c r="F29" s="1">
        <f>teraterm[[#This Row],[V(V)]]^2</f>
        <v>199235.49293316907</v>
      </c>
    </row>
    <row r="30" spans="1:6" x14ac:dyDescent="0.25">
      <c r="A30" s="1" t="s">
        <v>58</v>
      </c>
      <c r="B30" s="2">
        <v>617</v>
      </c>
      <c r="C30" s="1">
        <f>(teraterm[[#This Row],[Value(V)]]+$K$2)*$S$2</f>
        <v>433.76416015625006</v>
      </c>
      <c r="D30" s="1">
        <f>(MOD(teraterm[[#This Row],[Column2]],4096)-Q$4)*$S$3*1000</f>
        <v>104.57356770833333</v>
      </c>
      <c r="E30" s="1">
        <f>IF(ABS(VALUE(teraterm[[#This Row],[Column1]]))&lt;4095,VALUE(teraterm[[#This Row],[Column1]]),0)</f>
        <v>3884</v>
      </c>
      <c r="F30" s="1">
        <f>teraterm[[#This Row],[V(V)]]^2</f>
        <v>188151.34663605696</v>
      </c>
    </row>
    <row r="31" spans="1:6" x14ac:dyDescent="0.25">
      <c r="A31" s="1" t="s">
        <v>59</v>
      </c>
      <c r="B31" s="2">
        <v>585</v>
      </c>
      <c r="C31" s="1">
        <f>(teraterm[[#This Row],[Value(V)]]+$K$2)*$S$2</f>
        <v>411.36267089843756</v>
      </c>
      <c r="D31" s="1">
        <f>(MOD(teraterm[[#This Row],[Column2]],4096)-Q$4)*$S$3*1000</f>
        <v>91.552734374999986</v>
      </c>
      <c r="E31" s="1">
        <f>IF(ABS(VALUE(teraterm[[#This Row],[Column1]]))&lt;4095,VALUE(teraterm[[#This Row],[Column1]]),0)</f>
        <v>3683</v>
      </c>
      <c r="F31" s="1">
        <f>teraterm[[#This Row],[V(V)]]^2</f>
        <v>169219.24700869626</v>
      </c>
    </row>
    <row r="32" spans="1:6" x14ac:dyDescent="0.25">
      <c r="A32" s="1" t="s">
        <v>60</v>
      </c>
      <c r="B32" s="2">
        <v>549</v>
      </c>
      <c r="C32" s="1">
        <f>(teraterm[[#This Row],[Value(V)]]+$K$2)*$S$2</f>
        <v>390.41003417968756</v>
      </c>
      <c r="D32" s="1">
        <f>(MOD(teraterm[[#This Row],[Column2]],4096)-Q$4)*$S$3*1000</f>
        <v>76.904296875</v>
      </c>
      <c r="E32" s="1">
        <f>IF(ABS(VALUE(teraterm[[#This Row],[Column1]]))&lt;4095,VALUE(teraterm[[#This Row],[Column1]]),0)</f>
        <v>3495</v>
      </c>
      <c r="F32" s="1">
        <f>teraterm[[#This Row],[V(V)]]^2</f>
        <v>152419.99478818482</v>
      </c>
    </row>
    <row r="33" spans="1:6" x14ac:dyDescent="0.25">
      <c r="A33" s="1" t="s">
        <v>61</v>
      </c>
      <c r="B33" s="2">
        <v>518</v>
      </c>
      <c r="C33" s="1">
        <f>(teraterm[[#This Row],[Value(V)]]+$K$2)*$S$2</f>
        <v>368.67724609375006</v>
      </c>
      <c r="D33" s="1">
        <f>(MOD(teraterm[[#This Row],[Column2]],4096)-Q$4)*$S$3*1000</f>
        <v>64.290364583333329</v>
      </c>
      <c r="E33" s="1">
        <f>IF(ABS(VALUE(teraterm[[#This Row],[Column1]]))&lt;4095,VALUE(teraterm[[#This Row],[Column1]]),0)</f>
        <v>3300</v>
      </c>
      <c r="F33" s="1">
        <f>teraterm[[#This Row],[V(V)]]^2</f>
        <v>135922.91178727153</v>
      </c>
    </row>
    <row r="34" spans="1:6" x14ac:dyDescent="0.25">
      <c r="A34" s="1" t="s">
        <v>62</v>
      </c>
      <c r="B34" s="2">
        <v>486</v>
      </c>
      <c r="C34" s="1">
        <f>(teraterm[[#This Row],[Value(V)]]+$K$2)*$S$2</f>
        <v>342.70935058593756</v>
      </c>
      <c r="D34" s="1">
        <f>(MOD(teraterm[[#This Row],[Column2]],4096)-Q$4)*$S$3*1000</f>
        <v>51.269531249999993</v>
      </c>
      <c r="E34" s="1">
        <f>IF(ABS(VALUE(teraterm[[#This Row],[Column1]]))&lt;4095,VALUE(teraterm[[#This Row],[Column1]]),0)</f>
        <v>3067</v>
      </c>
      <c r="F34" s="1">
        <f>teraterm[[#This Row],[V(V)]]^2</f>
        <v>117449.69897903506</v>
      </c>
    </row>
    <row r="35" spans="1:6" x14ac:dyDescent="0.25">
      <c r="A35" s="1" t="s">
        <v>63</v>
      </c>
      <c r="B35" s="2">
        <v>428</v>
      </c>
      <c r="C35" s="1">
        <f>(teraterm[[#This Row],[Value(V)]]+$K$2)*$S$2</f>
        <v>315.62695312500006</v>
      </c>
      <c r="D35" s="1">
        <f>(MOD(teraterm[[#This Row],[Column2]],4096)-Q$4)*$S$3*1000</f>
        <v>27.669270833333332</v>
      </c>
      <c r="E35" s="1">
        <f>IF(ABS(VALUE(teraterm[[#This Row],[Column1]]))&lt;4095,VALUE(teraterm[[#This Row],[Column1]]),0)</f>
        <v>2824</v>
      </c>
      <c r="F35" s="1">
        <f>teraterm[[#This Row],[V(V)]]^2</f>
        <v>99620.373538970976</v>
      </c>
    </row>
    <row r="36" spans="1:6" x14ac:dyDescent="0.25">
      <c r="A36" s="1" t="s">
        <v>64</v>
      </c>
      <c r="B36" s="2">
        <v>403</v>
      </c>
      <c r="C36" s="1">
        <f>(teraterm[[#This Row],[Value(V)]]+$K$2)*$S$2</f>
        <v>287.87585449218756</v>
      </c>
      <c r="D36" s="1">
        <f>(MOD(teraterm[[#This Row],[Column2]],4096)-Q$4)*$S$3*1000</f>
        <v>17.496744791666664</v>
      </c>
      <c r="E36" s="1">
        <f>IF(ABS(VALUE(teraterm[[#This Row],[Column1]]))&lt;4095,VALUE(teraterm[[#This Row],[Column1]]),0)</f>
        <v>2575</v>
      </c>
      <c r="F36" s="1">
        <f>teraterm[[#This Row],[V(V)]]^2</f>
        <v>82872.507599607139</v>
      </c>
    </row>
    <row r="37" spans="1:6" x14ac:dyDescent="0.25">
      <c r="A37" s="1" t="s">
        <v>65</v>
      </c>
      <c r="B37" s="2">
        <v>344</v>
      </c>
      <c r="C37" s="1">
        <f>(teraterm[[#This Row],[Value(V)]]+$K$2)*$S$2</f>
        <v>256.89270019531256</v>
      </c>
      <c r="D37" s="1">
        <f>(MOD(teraterm[[#This Row],[Column2]],4096)-Q$4)*$S$3*1000</f>
        <v>-6.5104166666666661</v>
      </c>
      <c r="E37" s="1">
        <f>IF(ABS(VALUE(teraterm[[#This Row],[Column1]]))&lt;4095,VALUE(teraterm[[#This Row],[Column1]]),0)</f>
        <v>2297</v>
      </c>
      <c r="F37" s="1">
        <f>teraterm[[#This Row],[V(V)]]^2</f>
        <v>65993.85941363874</v>
      </c>
    </row>
    <row r="38" spans="1:6" x14ac:dyDescent="0.25">
      <c r="A38" s="1" t="s">
        <v>66</v>
      </c>
      <c r="B38" s="2">
        <v>306</v>
      </c>
      <c r="C38" s="1">
        <f>(teraterm[[#This Row],[Value(V)]]+$K$2)*$S$2</f>
        <v>225.01794433593753</v>
      </c>
      <c r="D38" s="1">
        <f>(MOD(teraterm[[#This Row],[Column2]],4096)-Q$4)*$S$3*1000</f>
        <v>-21.972656249999996</v>
      </c>
      <c r="E38" s="1">
        <f>IF(ABS(VALUE(teraterm[[#This Row],[Column1]]))&lt;4095,VALUE(teraterm[[#This Row],[Column1]]),0)</f>
        <v>2011</v>
      </c>
      <c r="F38" s="1">
        <f>teraterm[[#This Row],[V(V)]]^2</f>
        <v>50633.075273171082</v>
      </c>
    </row>
    <row r="39" spans="1:6" x14ac:dyDescent="0.25">
      <c r="A39" s="1" t="s">
        <v>67</v>
      </c>
      <c r="B39" s="2">
        <v>273</v>
      </c>
      <c r="C39" s="1">
        <f>(teraterm[[#This Row],[Value(V)]]+$K$2)*$S$2</f>
        <v>196.37524414062503</v>
      </c>
      <c r="D39" s="1">
        <f>(MOD(teraterm[[#This Row],[Column2]],4096)-Q$4)*$S$3*1000</f>
        <v>-35.400390625</v>
      </c>
      <c r="E39" s="1">
        <f>IF(ABS(VALUE(teraterm[[#This Row],[Column1]]))&lt;4095,VALUE(teraterm[[#This Row],[Column1]]),0)</f>
        <v>1754</v>
      </c>
      <c r="F39" s="1">
        <f>teraterm[[#This Row],[V(V)]]^2</f>
        <v>38563.236511290088</v>
      </c>
    </row>
    <row r="40" spans="1:6" x14ac:dyDescent="0.25">
      <c r="A40" s="1" t="s">
        <v>68</v>
      </c>
      <c r="B40" s="2">
        <v>234</v>
      </c>
      <c r="C40" s="1">
        <f>(teraterm[[#This Row],[Value(V)]]+$K$2)*$S$2</f>
        <v>168.84704589843753</v>
      </c>
      <c r="D40" s="1">
        <f>(MOD(teraterm[[#This Row],[Column2]],4096)-Q$4)*$S$3*1000</f>
        <v>-51.269531249999993</v>
      </c>
      <c r="E40" s="1">
        <f>IF(ABS(VALUE(teraterm[[#This Row],[Column1]]))&lt;4095,VALUE(teraterm[[#This Row],[Column1]]),0)</f>
        <v>1507</v>
      </c>
      <c r="F40" s="1">
        <f>teraterm[[#This Row],[V(V)]]^2</f>
        <v>28509.324908629071</v>
      </c>
    </row>
    <row r="41" spans="1:6" x14ac:dyDescent="0.25">
      <c r="A41" s="1" t="s">
        <v>69</v>
      </c>
      <c r="B41" s="2">
        <v>160</v>
      </c>
      <c r="C41" s="1">
        <f>(teraterm[[#This Row],[Value(V)]]+$K$2)*$S$2</f>
        <v>140.53869628906253</v>
      </c>
      <c r="D41" s="1">
        <f>(MOD(teraterm[[#This Row],[Column2]],4096)-Q$4)*$S$3*1000</f>
        <v>-81.380208333333329</v>
      </c>
      <c r="E41" s="1">
        <f>IF(ABS(VALUE(teraterm[[#This Row],[Column1]]))&lt;4095,VALUE(teraterm[[#This Row],[Column1]]),0)</f>
        <v>1253</v>
      </c>
      <c r="F41" s="1">
        <f>teraterm[[#This Row],[V(V)]]^2</f>
        <v>19751.125154629357</v>
      </c>
    </row>
    <row r="42" spans="1:6" x14ac:dyDescent="0.25">
      <c r="A42" s="1" t="s">
        <v>70</v>
      </c>
      <c r="B42" s="2">
        <v>113</v>
      </c>
      <c r="C42" s="1">
        <f>(teraterm[[#This Row],[Value(V)]]+$K$2)*$S$2</f>
        <v>115.01660156250001</v>
      </c>
      <c r="D42" s="1">
        <f>(MOD(teraterm[[#This Row],[Column2]],4096)-Q$4)*$S$3*1000</f>
        <v>-100.50455729166666</v>
      </c>
      <c r="E42" s="1">
        <f>IF(ABS(VALUE(teraterm[[#This Row],[Column1]]))&lt;4095,VALUE(teraterm[[#This Row],[Column1]]),0)</f>
        <v>1024</v>
      </c>
      <c r="F42" s="1">
        <f>teraterm[[#This Row],[V(V)]]^2</f>
        <v>13228.818634986881</v>
      </c>
    </row>
    <row r="43" spans="1:6" x14ac:dyDescent="0.25">
      <c r="A43" s="1" t="s">
        <v>71</v>
      </c>
      <c r="B43" s="2">
        <v>55</v>
      </c>
      <c r="C43" s="1">
        <f>(teraterm[[#This Row],[Value(V)]]+$K$2)*$S$2</f>
        <v>91.834960937500014</v>
      </c>
      <c r="D43" s="1">
        <f>(MOD(teraterm[[#This Row],[Column2]],4096)-Q$4)*$S$3*1000</f>
        <v>-124.10481770833333</v>
      </c>
      <c r="E43" s="1">
        <f>IF(ABS(VALUE(teraterm[[#This Row],[Column1]]))&lt;4095,VALUE(teraterm[[#This Row],[Column1]]),0)</f>
        <v>816</v>
      </c>
      <c r="F43" s="1">
        <f>teraterm[[#This Row],[V(V)]]^2</f>
        <v>8433.6600503921527</v>
      </c>
    </row>
    <row r="44" spans="1:6" x14ac:dyDescent="0.25">
      <c r="A44" s="1" t="s">
        <v>72</v>
      </c>
      <c r="B44" s="2">
        <v>4069</v>
      </c>
      <c r="C44" s="1">
        <f>(teraterm[[#This Row],[Value(V)]]+$K$2)*$S$2</f>
        <v>69.433471679687514</v>
      </c>
      <c r="D44" s="1">
        <f>(MOD(teraterm[[#This Row],[Column2]],4096)-Q$4)*$S$3*1000</f>
        <v>1509.1959635416665</v>
      </c>
      <c r="E44" s="1">
        <f>IF(ABS(VALUE(teraterm[[#This Row],[Column1]]))&lt;4095,VALUE(teraterm[[#This Row],[Column1]]),0)</f>
        <v>615</v>
      </c>
      <c r="F44" s="1">
        <f>teraterm[[#This Row],[V(V)]]^2</f>
        <v>4821.0069894939679</v>
      </c>
    </row>
    <row r="45" spans="1:6" x14ac:dyDescent="0.25">
      <c r="A45" s="1" t="s">
        <v>73</v>
      </c>
      <c r="B45" s="2">
        <v>4046</v>
      </c>
      <c r="C45" s="1">
        <f>(teraterm[[#This Row],[Value(V)]]+$K$2)*$S$2</f>
        <v>51.155639648437507</v>
      </c>
      <c r="D45" s="1">
        <f>(MOD(teraterm[[#This Row],[Column2]],4096)-Q$4)*$S$3*1000</f>
        <v>1499.8372395833333</v>
      </c>
      <c r="E45" s="1">
        <f>IF(ABS(VALUE(teraterm[[#This Row],[Column1]]))&lt;4095,VALUE(teraterm[[#This Row],[Column1]]),0)</f>
        <v>451</v>
      </c>
      <c r="F45" s="1">
        <f>teraterm[[#This Row],[V(V)]]^2</f>
        <v>2616.8994678407917</v>
      </c>
    </row>
    <row r="46" spans="1:6" x14ac:dyDescent="0.25">
      <c r="A46" s="1" t="s">
        <v>74</v>
      </c>
      <c r="B46" s="2">
        <v>4002</v>
      </c>
      <c r="C46" s="1">
        <f>(teraterm[[#This Row],[Value(V)]]+$K$2)*$S$2</f>
        <v>38.338867187500007</v>
      </c>
      <c r="D46" s="1">
        <f>(MOD(teraterm[[#This Row],[Column2]],4096)-Q$4)*$S$3*1000</f>
        <v>1481.9335937499998</v>
      </c>
      <c r="E46" s="1">
        <f>IF(ABS(VALUE(teraterm[[#This Row],[Column1]]))&lt;4095,VALUE(teraterm[[#This Row],[Column1]]),0)</f>
        <v>336</v>
      </c>
      <c r="F46" s="1">
        <f>teraterm[[#This Row],[V(V)]]^2</f>
        <v>1469.8687372207646</v>
      </c>
    </row>
    <row r="47" spans="1:6" x14ac:dyDescent="0.25">
      <c r="A47" s="1" t="s">
        <v>75</v>
      </c>
      <c r="B47" s="2">
        <v>3978</v>
      </c>
      <c r="C47" s="1">
        <f>(teraterm[[#This Row],[Value(V)]]+$K$2)*$S$2</f>
        <v>31.317504882812504</v>
      </c>
      <c r="D47" s="1">
        <f>(MOD(teraterm[[#This Row],[Column2]],4096)-Q$4)*$S$3*1000</f>
        <v>1472.1679687499998</v>
      </c>
      <c r="E47" s="1">
        <f>IF(ABS(VALUE(teraterm[[#This Row],[Column1]]))&lt;4095,VALUE(teraterm[[#This Row],[Column1]]),0)</f>
        <v>273</v>
      </c>
      <c r="F47" s="1">
        <f>teraterm[[#This Row],[V(V)]]^2</f>
        <v>980.78611208498501</v>
      </c>
    </row>
    <row r="48" spans="1:6" x14ac:dyDescent="0.25">
      <c r="A48" s="1" t="s">
        <v>76</v>
      </c>
      <c r="B48" s="2">
        <v>3975</v>
      </c>
      <c r="C48" s="1">
        <f>(teraterm[[#This Row],[Value(V)]]+$K$2)*$S$2</f>
        <v>29.199951171875004</v>
      </c>
      <c r="D48" s="1">
        <f>(MOD(teraterm[[#This Row],[Column2]],4096)-Q$4)*$S$3*1000</f>
        <v>1470.9472656249998</v>
      </c>
      <c r="E48" s="1">
        <f>IF(ABS(VALUE(teraterm[[#This Row],[Column1]]))&lt;4095,VALUE(teraterm[[#This Row],[Column1]]),0)</f>
        <v>254</v>
      </c>
      <c r="F48" s="1">
        <f>teraterm[[#This Row],[V(V)]]^2</f>
        <v>852.63714843988441</v>
      </c>
    </row>
    <row r="49" spans="1:6" x14ac:dyDescent="0.25">
      <c r="A49" s="1" t="s">
        <v>27</v>
      </c>
      <c r="B49" s="2">
        <v>3980</v>
      </c>
      <c r="C49" s="1">
        <f>(teraterm[[#This Row],[Value(V)]]+$K$2)*$S$2</f>
        <v>28.085449218750004</v>
      </c>
      <c r="D49" s="1">
        <f>(MOD(teraterm[[#This Row],[Column2]],4096)-Q$4)*$S$3*1000</f>
        <v>1472.9817708333333</v>
      </c>
      <c r="E49" s="1">
        <f>IF(ABS(VALUE(teraterm[[#This Row],[Column1]]))&lt;4095,VALUE(teraterm[[#This Row],[Column1]]),0)</f>
        <v>244</v>
      </c>
      <c r="F49" s="1">
        <f>teraterm[[#This Row],[V(V)]]^2</f>
        <v>788.79245781898521</v>
      </c>
    </row>
    <row r="50" spans="1:6" x14ac:dyDescent="0.25">
      <c r="A50" s="1" t="s">
        <v>25</v>
      </c>
      <c r="B50" s="2">
        <v>3980</v>
      </c>
      <c r="C50" s="1">
        <f>(teraterm[[#This Row],[Value(V)]]+$K$2)*$S$2</f>
        <v>27.973999023437504</v>
      </c>
      <c r="D50" s="1">
        <f>(MOD(teraterm[[#This Row],[Column2]],4096)-Q$4)*$S$3*1000</f>
        <v>1472.9817708333333</v>
      </c>
      <c r="E50" s="1">
        <f>IF(ABS(VALUE(teraterm[[#This Row],[Column1]]))&lt;4095,VALUE(teraterm[[#This Row],[Column1]]),0)</f>
        <v>243</v>
      </c>
      <c r="F50" s="1">
        <f>teraterm[[#This Row],[V(V)]]^2</f>
        <v>782.54462136328243</v>
      </c>
    </row>
    <row r="51" spans="1:6" x14ac:dyDescent="0.25">
      <c r="A51" s="1" t="s">
        <v>77</v>
      </c>
      <c r="B51" s="2">
        <v>3995</v>
      </c>
      <c r="C51" s="1">
        <f>(teraterm[[#This Row],[Value(V)]]+$K$2)*$S$2</f>
        <v>30.314453125000004</v>
      </c>
      <c r="D51" s="1">
        <f>(MOD(teraterm[[#This Row],[Column2]],4096)-Q$4)*$S$3*1000</f>
        <v>1479.0852864583333</v>
      </c>
      <c r="E51" s="1">
        <f>IF(ABS(VALUE(teraterm[[#This Row],[Column1]]))&lt;4095,VALUE(teraterm[[#This Row],[Column1]]),0)</f>
        <v>264</v>
      </c>
      <c r="F51" s="1">
        <f>teraterm[[#This Row],[V(V)]]^2</f>
        <v>918.96606826782249</v>
      </c>
    </row>
    <row r="52" spans="1:6" x14ac:dyDescent="0.25">
      <c r="A52" s="1" t="s">
        <v>26</v>
      </c>
      <c r="B52" s="2">
        <v>4025</v>
      </c>
      <c r="C52" s="1">
        <f>(teraterm[[#This Row],[Value(V)]]+$K$2)*$S$2</f>
        <v>40.567871093750007</v>
      </c>
      <c r="D52" s="1">
        <f>(MOD(teraterm[[#This Row],[Column2]],4096)-Q$4)*$S$3*1000</f>
        <v>1491.2923177083333</v>
      </c>
      <c r="E52" s="1">
        <f>IF(ABS(VALUE(teraterm[[#This Row],[Column1]]))&lt;4095,VALUE(teraterm[[#This Row],[Column1]]),0)</f>
        <v>356</v>
      </c>
      <c r="F52" s="1">
        <f>teraterm[[#This Row],[V(V)]]^2</f>
        <v>1645.7521650791175</v>
      </c>
    </row>
    <row r="53" spans="1:6" x14ac:dyDescent="0.25">
      <c r="A53" s="1" t="s">
        <v>78</v>
      </c>
      <c r="B53" s="2">
        <v>4092</v>
      </c>
      <c r="C53" s="1">
        <f>(teraterm[[#This Row],[Value(V)]]+$K$2)*$S$2</f>
        <v>62.077758789062507</v>
      </c>
      <c r="D53" s="1">
        <f>(MOD(teraterm[[#This Row],[Column2]],4096)-Q$4)*$S$3*1000</f>
        <v>1518.5546874999998</v>
      </c>
      <c r="E53" s="1">
        <f>IF(ABS(VALUE(teraterm[[#This Row],[Column1]]))&lt;4095,VALUE(teraterm[[#This Row],[Column1]]),0)</f>
        <v>549</v>
      </c>
      <c r="F53" s="1">
        <f>teraterm[[#This Row],[V(V)]]^2</f>
        <v>3853.6481362730274</v>
      </c>
    </row>
    <row r="54" spans="1:6" x14ac:dyDescent="0.25">
      <c r="A54" s="1" t="s">
        <v>79</v>
      </c>
      <c r="B54" s="2">
        <v>49</v>
      </c>
      <c r="C54" s="1">
        <f>(teraterm[[#This Row],[Value(V)]]+$K$2)*$S$2</f>
        <v>85.259399414062514</v>
      </c>
      <c r="D54" s="1">
        <f>(MOD(teraterm[[#This Row],[Column2]],4096)-Q$4)*$S$3*1000</f>
        <v>-126.54622395833331</v>
      </c>
      <c r="E54" s="1">
        <f>IF(ABS(VALUE(teraterm[[#This Row],[Column1]]))&lt;4095,VALUE(teraterm[[#This Row],[Column1]]),0)</f>
        <v>757</v>
      </c>
      <c r="F54" s="1">
        <f>teraterm[[#This Row],[V(V)]]^2</f>
        <v>7269.1651884466437</v>
      </c>
    </row>
    <row r="55" spans="1:6" x14ac:dyDescent="0.25">
      <c r="A55" s="1" t="s">
        <v>80</v>
      </c>
      <c r="B55" s="2">
        <v>104</v>
      </c>
      <c r="C55" s="1">
        <f>(teraterm[[#This Row],[Value(V)]]+$K$2)*$S$2</f>
        <v>107.66088867187501</v>
      </c>
      <c r="D55" s="1">
        <f>(MOD(teraterm[[#This Row],[Column2]],4096)-Q$4)*$S$3*1000</f>
        <v>-104.16666666666666</v>
      </c>
      <c r="E55" s="1">
        <f>IF(ABS(VALUE(teraterm[[#This Row],[Column1]]))&lt;4095,VALUE(teraterm[[#This Row],[Column1]]),0)</f>
        <v>958</v>
      </c>
      <c r="F55" s="1">
        <f>teraterm[[#This Row],[V(V)]]^2</f>
        <v>11590.866949617866</v>
      </c>
    </row>
    <row r="56" spans="1:6" x14ac:dyDescent="0.25">
      <c r="A56" s="1" t="s">
        <v>81</v>
      </c>
      <c r="B56" s="2">
        <v>167</v>
      </c>
      <c r="C56" s="1">
        <f>(teraterm[[#This Row],[Value(V)]]+$K$2)*$S$2</f>
        <v>133.07153320312503</v>
      </c>
      <c r="D56" s="1">
        <f>(MOD(teraterm[[#This Row],[Column2]],4096)-Q$4)*$S$3*1000</f>
        <v>-78.531901041666657</v>
      </c>
      <c r="E56" s="1">
        <f>IF(ABS(VALUE(teraterm[[#This Row],[Column1]]))&lt;4095,VALUE(teraterm[[#This Row],[Column1]]),0)</f>
        <v>1186</v>
      </c>
      <c r="F56" s="1">
        <f>teraterm[[#This Row],[V(V)]]^2</f>
        <v>17708.032949030407</v>
      </c>
    </row>
    <row r="57" spans="1:6" x14ac:dyDescent="0.25">
      <c r="A57" s="1" t="s">
        <v>82</v>
      </c>
      <c r="B57" s="2">
        <v>214</v>
      </c>
      <c r="C57" s="1">
        <f>(teraterm[[#This Row],[Value(V)]]+$K$2)*$S$2</f>
        <v>160.93408203125003</v>
      </c>
      <c r="D57" s="1">
        <f>(MOD(teraterm[[#This Row],[Column2]],4096)-Q$4)*$S$3*1000</f>
        <v>-59.407552083333329</v>
      </c>
      <c r="E57" s="1">
        <f>IF(ABS(VALUE(teraterm[[#This Row],[Column1]]))&lt;4095,VALUE(teraterm[[#This Row],[Column1]]),0)</f>
        <v>1436</v>
      </c>
      <c r="F57" s="1">
        <f>teraterm[[#This Row],[V(V)]]^2</f>
        <v>25899.778759241115</v>
      </c>
    </row>
    <row r="58" spans="1:6" x14ac:dyDescent="0.25">
      <c r="A58" s="1" t="s">
        <v>83</v>
      </c>
      <c r="B58" s="2">
        <v>254</v>
      </c>
      <c r="C58" s="1">
        <f>(teraterm[[#This Row],[Value(V)]]+$K$2)*$S$2</f>
        <v>188.57373046875003</v>
      </c>
      <c r="D58" s="1">
        <f>(MOD(teraterm[[#This Row],[Column2]],4096)-Q$4)*$S$3*1000</f>
        <v>-43.131510416666664</v>
      </c>
      <c r="E58" s="1">
        <f>IF(ABS(VALUE(teraterm[[#This Row],[Column1]]))&lt;4095,VALUE(teraterm[[#This Row],[Column1]]),0)</f>
        <v>1684</v>
      </c>
      <c r="F58" s="1">
        <f>teraterm[[#This Row],[V(V)]]^2</f>
        <v>35560.051822900779</v>
      </c>
    </row>
    <row r="59" spans="1:6" x14ac:dyDescent="0.25">
      <c r="A59" s="1" t="s">
        <v>84</v>
      </c>
      <c r="B59" s="2">
        <v>325</v>
      </c>
      <c r="C59" s="1">
        <f>(teraterm[[#This Row],[Value(V)]]+$K$2)*$S$2</f>
        <v>218.77673339843753</v>
      </c>
      <c r="D59" s="1">
        <f>(MOD(teraterm[[#This Row],[Column2]],4096)-Q$4)*$S$3*1000</f>
        <v>-14.241536458333332</v>
      </c>
      <c r="E59" s="1">
        <f>IF(ABS(VALUE(teraterm[[#This Row],[Column1]]))&lt;4095,VALUE(teraterm[[#This Row],[Column1]]),0)</f>
        <v>1955</v>
      </c>
      <c r="F59" s="1">
        <f>teraterm[[#This Row],[V(V)]]^2</f>
        <v>47863.259076491013</v>
      </c>
    </row>
    <row r="60" spans="1:6" x14ac:dyDescent="0.25">
      <c r="A60" s="1" t="s">
        <v>85</v>
      </c>
      <c r="B60" s="2">
        <v>351</v>
      </c>
      <c r="C60" s="1">
        <f>(teraterm[[#This Row],[Value(V)]]+$K$2)*$S$2</f>
        <v>250.31713867187503</v>
      </c>
      <c r="D60" s="1">
        <f>(MOD(teraterm[[#This Row],[Column2]],4096)-Q$4)*$S$3*1000</f>
        <v>-3.6621093749999996</v>
      </c>
      <c r="E60" s="1">
        <f>IF(ABS(VALUE(teraterm[[#This Row],[Column1]]))&lt;4095,VALUE(teraterm[[#This Row],[Column1]]),0)</f>
        <v>2238</v>
      </c>
      <c r="F60" s="1">
        <f>teraterm[[#This Row],[V(V)]]^2</f>
        <v>62658.669912874713</v>
      </c>
    </row>
    <row r="61" spans="1:6" x14ac:dyDescent="0.25">
      <c r="A61" s="1" t="s">
        <v>86</v>
      </c>
      <c r="B61" s="2">
        <v>400</v>
      </c>
      <c r="C61" s="1">
        <f>(teraterm[[#This Row],[Value(V)]]+$K$2)*$S$2</f>
        <v>279.51708984375006</v>
      </c>
      <c r="D61" s="1">
        <f>(MOD(teraterm[[#This Row],[Column2]],4096)-Q$4)*$S$3*1000</f>
        <v>16.276041666666664</v>
      </c>
      <c r="E61" s="1">
        <f>IF(ABS(VALUE(teraterm[[#This Row],[Column1]]))&lt;4095,VALUE(teraterm[[#This Row],[Column1]]),0)</f>
        <v>2500</v>
      </c>
      <c r="F61" s="1">
        <f>teraterm[[#This Row],[V(V)]]^2</f>
        <v>78129.803514719039</v>
      </c>
    </row>
    <row r="62" spans="1:6" x14ac:dyDescent="0.25">
      <c r="A62" s="1" t="s">
        <v>87</v>
      </c>
      <c r="B62" s="2">
        <v>446</v>
      </c>
      <c r="C62" s="1">
        <f>(teraterm[[#This Row],[Value(V)]]+$K$2)*$S$2</f>
        <v>306.26513671875006</v>
      </c>
      <c r="D62" s="1">
        <f>(MOD(teraterm[[#This Row],[Column2]],4096)-Q$4)*$S$3*1000</f>
        <v>34.993489583333329</v>
      </c>
      <c r="E62" s="1">
        <f>IF(ABS(VALUE(teraterm[[#This Row],[Column1]]))&lt;4095,VALUE(teraterm[[#This Row],[Column1]]),0)</f>
        <v>2740</v>
      </c>
      <c r="F62" s="1">
        <f>teraterm[[#This Row],[V(V)]]^2</f>
        <v>93798.333969354659</v>
      </c>
    </row>
    <row r="63" spans="1:6" x14ac:dyDescent="0.25">
      <c r="A63" s="1" t="s">
        <v>88</v>
      </c>
      <c r="B63" s="2">
        <v>474</v>
      </c>
      <c r="C63" s="1">
        <f>(teraterm[[#This Row],[Value(V)]]+$K$2)*$S$2</f>
        <v>333.45898437500006</v>
      </c>
      <c r="D63" s="1">
        <f>(MOD(teraterm[[#This Row],[Column2]],4096)-Q$4)*$S$3*1000</f>
        <v>46.386718749999993</v>
      </c>
      <c r="E63" s="1">
        <f>IF(ABS(VALUE(teraterm[[#This Row],[Column1]]))&lt;4095,VALUE(teraterm[[#This Row],[Column1]]),0)</f>
        <v>2984</v>
      </c>
      <c r="F63" s="1">
        <f>teraterm[[#This Row],[V(V)]]^2</f>
        <v>111194.89426040654</v>
      </c>
    </row>
    <row r="64" spans="1:6" x14ac:dyDescent="0.25">
      <c r="A64" s="1" t="s">
        <v>89</v>
      </c>
      <c r="B64" s="2">
        <v>523</v>
      </c>
      <c r="C64" s="1">
        <f>(teraterm[[#This Row],[Value(V)]]+$K$2)*$S$2</f>
        <v>358.53527832031256</v>
      </c>
      <c r="D64" s="1">
        <f>(MOD(teraterm[[#This Row],[Column2]],4096)-Q$4)*$S$3*1000</f>
        <v>66.324869791666657</v>
      </c>
      <c r="E64" s="1">
        <f>IF(ABS(VALUE(teraterm[[#This Row],[Column1]]))&lt;4095,VALUE(teraterm[[#This Row],[Column1]]),0)</f>
        <v>3209</v>
      </c>
      <c r="F64" s="1">
        <f>teraterm[[#This Row],[V(V)]]^2</f>
        <v>128547.54580022399</v>
      </c>
    </row>
    <row r="65" spans="1:6" x14ac:dyDescent="0.25">
      <c r="A65" s="1" t="s">
        <v>90</v>
      </c>
      <c r="B65" s="2">
        <v>573</v>
      </c>
      <c r="C65" s="1">
        <f>(teraterm[[#This Row],[Value(V)]]+$K$2)*$S$2</f>
        <v>381.15966796875006</v>
      </c>
      <c r="D65" s="1">
        <f>(MOD(teraterm[[#This Row],[Column2]],4096)-Q$4)*$S$3*1000</f>
        <v>86.669921874999986</v>
      </c>
      <c r="E65" s="1">
        <f>IF(ABS(VALUE(teraterm[[#This Row],[Column1]]))&lt;4095,VALUE(teraterm[[#This Row],[Column1]]),0)</f>
        <v>3412</v>
      </c>
      <c r="F65" s="1">
        <f>teraterm[[#This Row],[V(V)]]^2</f>
        <v>145282.69248604777</v>
      </c>
    </row>
    <row r="66" spans="1:6" x14ac:dyDescent="0.25">
      <c r="A66" s="1" t="s">
        <v>91</v>
      </c>
      <c r="B66" s="2">
        <v>599</v>
      </c>
      <c r="C66" s="1">
        <f>(teraterm[[#This Row],[Value(V)]]+$K$2)*$S$2</f>
        <v>403.33825683593756</v>
      </c>
      <c r="D66" s="1">
        <f>(MOD(teraterm[[#This Row],[Column2]],4096)-Q$4)*$S$3*1000</f>
        <v>97.249348958333329</v>
      </c>
      <c r="E66" s="1">
        <f>IF(ABS(VALUE(teraterm[[#This Row],[Column1]]))&lt;4095,VALUE(teraterm[[#This Row],[Column1]]),0)</f>
        <v>3611</v>
      </c>
      <c r="F66" s="1">
        <f>teraterm[[#This Row],[V(V)]]^2</f>
        <v>162681.74942745274</v>
      </c>
    </row>
    <row r="67" spans="1:6" x14ac:dyDescent="0.25">
      <c r="A67" s="1" t="s">
        <v>92</v>
      </c>
      <c r="B67" s="2">
        <v>630</v>
      </c>
      <c r="C67" s="1">
        <f>(teraterm[[#This Row],[Value(V)]]+$K$2)*$S$2</f>
        <v>421.28173828125006</v>
      </c>
      <c r="D67" s="1">
        <f>(MOD(teraterm[[#This Row],[Column2]],4096)-Q$4)*$S$3*1000</f>
        <v>109.86328124999999</v>
      </c>
      <c r="E67" s="1">
        <f>IF(ABS(VALUE(teraterm[[#This Row],[Column1]]))&lt;4095,VALUE(teraterm[[#This Row],[Column1]]),0)</f>
        <v>3772</v>
      </c>
      <c r="F67" s="1">
        <f>teraterm[[#This Row],[V(V)]]^2</f>
        <v>177478.30300927168</v>
      </c>
    </row>
    <row r="68" spans="1:6" x14ac:dyDescent="0.25">
      <c r="A68" s="1" t="s">
        <v>93</v>
      </c>
      <c r="B68" s="2">
        <v>631</v>
      </c>
      <c r="C68" s="1">
        <f>(teraterm[[#This Row],[Value(V)]]+$K$2)*$S$2</f>
        <v>434.54431152343756</v>
      </c>
      <c r="D68" s="1">
        <f>(MOD(teraterm[[#This Row],[Column2]],4096)-Q$4)*$S$3*1000</f>
        <v>110.27018229166666</v>
      </c>
      <c r="E68" s="1">
        <f>IF(ABS(VALUE(teraterm[[#This Row],[Column1]]))&lt;4095,VALUE(teraterm[[#This Row],[Column1]]),0)</f>
        <v>3891</v>
      </c>
      <c r="F68" s="1">
        <f>teraterm[[#This Row],[V(V)]]^2</f>
        <v>188828.75867737836</v>
      </c>
    </row>
    <row r="69" spans="1:6" x14ac:dyDescent="0.25">
      <c r="A69" s="1" t="s">
        <v>94</v>
      </c>
      <c r="B69" s="2">
        <v>643</v>
      </c>
      <c r="C69" s="1">
        <f>(teraterm[[#This Row],[Value(V)]]+$K$2)*$S$2</f>
        <v>443.23742675781256</v>
      </c>
      <c r="D69" s="1">
        <f>(MOD(teraterm[[#This Row],[Column2]],4096)-Q$4)*$S$3*1000</f>
        <v>115.15299479166666</v>
      </c>
      <c r="E69" s="1">
        <f>IF(ABS(VALUE(teraterm[[#This Row],[Column1]]))&lt;4095,VALUE(teraterm[[#This Row],[Column1]]),0)</f>
        <v>3969</v>
      </c>
      <c r="F69" s="1">
        <f>teraterm[[#This Row],[V(V)]]^2</f>
        <v>196459.41647888726</v>
      </c>
    </row>
    <row r="70" spans="1:6" x14ac:dyDescent="0.25">
      <c r="A70" s="1" t="s">
        <v>95</v>
      </c>
      <c r="B70" s="2">
        <v>650</v>
      </c>
      <c r="C70" s="1">
        <f>(teraterm[[#This Row],[Value(V)]]+$K$2)*$S$2</f>
        <v>446.46948242187506</v>
      </c>
      <c r="D70" s="1">
        <f>(MOD(teraterm[[#This Row],[Column2]],4096)-Q$4)*$S$3*1000</f>
        <v>118.00130208333333</v>
      </c>
      <c r="E70" s="1">
        <f>IF(ABS(VALUE(teraterm[[#This Row],[Column1]]))&lt;4095,VALUE(teraterm[[#This Row],[Column1]]),0)</f>
        <v>3998</v>
      </c>
      <c r="F70" s="1">
        <f>teraterm[[#This Row],[V(V)]]^2</f>
        <v>199334.99873405701</v>
      </c>
    </row>
    <row r="71" spans="1:6" x14ac:dyDescent="0.25">
      <c r="A71" s="1" t="s">
        <v>30</v>
      </c>
      <c r="B71" s="2">
        <v>649</v>
      </c>
      <c r="C71" s="1">
        <f>(teraterm[[#This Row],[Value(V)]]+$K$2)*$S$2</f>
        <v>448.14123535156256</v>
      </c>
      <c r="D71" s="1">
        <f>(MOD(teraterm[[#This Row],[Column2]],4096)-Q$4)*$S$3*1000</f>
        <v>117.59440104166666</v>
      </c>
      <c r="E71" s="1">
        <f>IF(ABS(VALUE(teraterm[[#This Row],[Column1]]))&lt;4095,VALUE(teraterm[[#This Row],[Column1]]),0)</f>
        <v>4013</v>
      </c>
      <c r="F71" s="1">
        <f>teraterm[[#This Row],[V(V)]]^2</f>
        <v>200830.56682242459</v>
      </c>
    </row>
    <row r="72" spans="1:6" x14ac:dyDescent="0.25">
      <c r="A72" s="1" t="s">
        <v>96</v>
      </c>
      <c r="B72" s="2">
        <v>649</v>
      </c>
      <c r="C72" s="1">
        <f>(teraterm[[#This Row],[Value(V)]]+$K$2)*$S$2</f>
        <v>449.25573730468756</v>
      </c>
      <c r="D72" s="1">
        <f>(MOD(teraterm[[#This Row],[Column2]],4096)-Q$4)*$S$3*1000</f>
        <v>117.59440104166666</v>
      </c>
      <c r="E72" s="1">
        <f>IF(ABS(VALUE(teraterm[[#This Row],[Column1]]))&lt;4095,VALUE(teraterm[[#This Row],[Column1]]),0)</f>
        <v>4023</v>
      </c>
      <c r="F72" s="1">
        <f>teraterm[[#This Row],[V(V)]]^2</f>
        <v>201830.71750117844</v>
      </c>
    </row>
    <row r="73" spans="1:6" x14ac:dyDescent="0.25">
      <c r="A73" s="1" t="s">
        <v>55</v>
      </c>
      <c r="B73" s="2">
        <v>651</v>
      </c>
      <c r="C73" s="1">
        <f>(teraterm[[#This Row],[Value(V)]]+$K$2)*$S$2</f>
        <v>449.03283691406256</v>
      </c>
      <c r="D73" s="1">
        <f>(MOD(teraterm[[#This Row],[Column2]],4096)-Q$4)*$S$3*1000</f>
        <v>118.40820312499999</v>
      </c>
      <c r="E73" s="1">
        <f>IF(ABS(VALUE(teraterm[[#This Row],[Column1]]))&lt;4095,VALUE(teraterm[[#This Row],[Column1]]),0)</f>
        <v>4021</v>
      </c>
      <c r="F73" s="1">
        <f>teraterm[[#This Row],[V(V)]]^2</f>
        <v>201630.48862709111</v>
      </c>
    </row>
    <row r="74" spans="1:6" x14ac:dyDescent="0.25">
      <c r="A74" s="1" t="s">
        <v>97</v>
      </c>
      <c r="B74" s="2">
        <v>627</v>
      </c>
      <c r="C74" s="1">
        <f>(teraterm[[#This Row],[Value(V)]]+$K$2)*$S$2</f>
        <v>442.90307617187506</v>
      </c>
      <c r="D74" s="1">
        <f>(MOD(teraterm[[#This Row],[Column2]],4096)-Q$4)*$S$3*1000</f>
        <v>108.64257812499999</v>
      </c>
      <c r="E74" s="1">
        <f>IF(ABS(VALUE(teraterm[[#This Row],[Column1]]))&lt;4095,VALUE(teraterm[[#This Row],[Column1]]),0)</f>
        <v>3966</v>
      </c>
      <c r="F74" s="1">
        <f>teraterm[[#This Row],[V(V)]]^2</f>
        <v>196163.13488250977</v>
      </c>
    </row>
    <row r="75" spans="1:6" x14ac:dyDescent="0.25">
      <c r="A75" s="1" t="s">
        <v>98</v>
      </c>
      <c r="B75" s="2">
        <v>605</v>
      </c>
      <c r="C75" s="1">
        <f>(teraterm[[#This Row],[Value(V)]]+$K$2)*$S$2</f>
        <v>426.07409667968756</v>
      </c>
      <c r="D75" s="1">
        <f>(MOD(teraterm[[#This Row],[Column2]],4096)-Q$4)*$S$3*1000</f>
        <v>99.690755208333329</v>
      </c>
      <c r="E75" s="1">
        <f>IF(ABS(VALUE(teraterm[[#This Row],[Column1]]))&lt;4095,VALUE(teraterm[[#This Row],[Column1]]),0)</f>
        <v>3815</v>
      </c>
      <c r="F75" s="1">
        <f>teraterm[[#This Row],[V(V)]]^2</f>
        <v>181539.13586141175</v>
      </c>
    </row>
    <row r="76" spans="1:6" x14ac:dyDescent="0.25">
      <c r="A76" s="1" t="s">
        <v>99</v>
      </c>
      <c r="B76" s="2">
        <v>577</v>
      </c>
      <c r="C76" s="1">
        <f>(teraterm[[#This Row],[Value(V)]]+$K$2)*$S$2</f>
        <v>404.34130859375006</v>
      </c>
      <c r="D76" s="1">
        <f>(MOD(teraterm[[#This Row],[Column2]],4096)-Q$4)*$S$3*1000</f>
        <v>88.297526041666657</v>
      </c>
      <c r="E76" s="1">
        <f>IF(ABS(VALUE(teraterm[[#This Row],[Column1]]))&lt;4095,VALUE(teraterm[[#This Row],[Column1]]),0)</f>
        <v>3620</v>
      </c>
      <c r="F76" s="1">
        <f>teraterm[[#This Row],[V(V)]]^2</f>
        <v>163491.89383530623</v>
      </c>
    </row>
    <row r="77" spans="1:6" x14ac:dyDescent="0.25">
      <c r="A77" s="1" t="s">
        <v>100</v>
      </c>
      <c r="B77" s="2">
        <v>538</v>
      </c>
      <c r="C77" s="1">
        <f>(teraterm[[#This Row],[Value(V)]]+$K$2)*$S$2</f>
        <v>383.05432128906256</v>
      </c>
      <c r="D77" s="1">
        <f>(MOD(teraterm[[#This Row],[Column2]],4096)-Q$4)*$S$3*1000</f>
        <v>72.428385416666657</v>
      </c>
      <c r="E77" s="1">
        <f>IF(ABS(VALUE(teraterm[[#This Row],[Column1]]))&lt;4095,VALUE(teraterm[[#This Row],[Column1]]),0)</f>
        <v>3429</v>
      </c>
      <c r="F77" s="1">
        <f>teraterm[[#This Row],[V(V)]]^2</f>
        <v>146730.61305822435</v>
      </c>
    </row>
    <row r="78" spans="1:6" x14ac:dyDescent="0.25">
      <c r="A78" s="1" t="s">
        <v>101</v>
      </c>
      <c r="B78" s="2">
        <v>508</v>
      </c>
      <c r="C78" s="1">
        <f>(teraterm[[#This Row],[Value(V)]]+$K$2)*$S$2</f>
        <v>359.98413085937506</v>
      </c>
      <c r="D78" s="1">
        <f>(MOD(teraterm[[#This Row],[Column2]],4096)-Q$4)*$S$3*1000</f>
        <v>60.221354166666664</v>
      </c>
      <c r="E78" s="1">
        <f>IF(ABS(VALUE(teraterm[[#This Row],[Column1]]))&lt;4095,VALUE(teraterm[[#This Row],[Column1]]),0)</f>
        <v>3222</v>
      </c>
      <c r="F78" s="1">
        <f>teraterm[[#This Row],[V(V)]]^2</f>
        <v>129588.57447057967</v>
      </c>
    </row>
    <row r="79" spans="1:6" x14ac:dyDescent="0.25">
      <c r="A79" s="1" t="s">
        <v>102</v>
      </c>
      <c r="B79" s="2">
        <v>475</v>
      </c>
      <c r="C79" s="1">
        <f>(teraterm[[#This Row],[Value(V)]]+$K$2)*$S$2</f>
        <v>333.23608398437506</v>
      </c>
      <c r="D79" s="1">
        <f>(MOD(teraterm[[#This Row],[Column2]],4096)-Q$4)*$S$3*1000</f>
        <v>46.793619791666664</v>
      </c>
      <c r="E79" s="1">
        <f>IF(ABS(VALUE(teraterm[[#This Row],[Column1]]))&lt;4095,VALUE(teraterm[[#This Row],[Column1]]),0)</f>
        <v>2982</v>
      </c>
      <c r="F79" s="1">
        <f>teraterm[[#This Row],[V(V)]]^2</f>
        <v>111046.28766924147</v>
      </c>
    </row>
    <row r="80" spans="1:6" x14ac:dyDescent="0.25">
      <c r="A80" s="1" t="s">
        <v>103</v>
      </c>
      <c r="B80" s="2">
        <v>420</v>
      </c>
      <c r="C80" s="1">
        <f>(teraterm[[#This Row],[Value(V)]]+$K$2)*$S$2</f>
        <v>306.37658691406256</v>
      </c>
      <c r="D80" s="1">
        <f>(MOD(teraterm[[#This Row],[Column2]],4096)-Q$4)*$S$3*1000</f>
        <v>24.414062499999996</v>
      </c>
      <c r="E80" s="1">
        <f>IF(ABS(VALUE(teraterm[[#This Row],[Column1]]))&lt;4095,VALUE(teraterm[[#This Row],[Column1]]),0)</f>
        <v>2741</v>
      </c>
      <c r="F80" s="1">
        <f>teraterm[[#This Row],[V(V)]]^2</f>
        <v>93866.613009110122</v>
      </c>
    </row>
    <row r="81" spans="1:6" x14ac:dyDescent="0.25">
      <c r="A81" s="1" t="s">
        <v>104</v>
      </c>
      <c r="B81" s="2">
        <v>365</v>
      </c>
      <c r="C81" s="1">
        <f>(teraterm[[#This Row],[Value(V)]]+$K$2)*$S$2</f>
        <v>277.39953613281256</v>
      </c>
      <c r="D81" s="1">
        <f>(MOD(teraterm[[#This Row],[Column2]],4096)-Q$4)*$S$3*1000</f>
        <v>2.034505208333333</v>
      </c>
      <c r="E81" s="1">
        <f>IF(ABS(VALUE(teraterm[[#This Row],[Column1]]))&lt;4095,VALUE(teraterm[[#This Row],[Column1]]),0)</f>
        <v>2481</v>
      </c>
      <c r="F81" s="1">
        <f>teraterm[[#This Row],[V(V)]]^2</f>
        <v>76950.502646699577</v>
      </c>
    </row>
    <row r="82" spans="1:6" x14ac:dyDescent="0.25">
      <c r="A82" s="1" t="s">
        <v>105</v>
      </c>
      <c r="B82" s="2">
        <v>346</v>
      </c>
      <c r="C82" s="1">
        <f>(teraterm[[#This Row],[Value(V)]]+$K$2)*$S$2</f>
        <v>245.97058105468753</v>
      </c>
      <c r="D82" s="1">
        <f>(MOD(teraterm[[#This Row],[Column2]],4096)-Q$4)*$S$3*1000</f>
        <v>-5.696614583333333</v>
      </c>
      <c r="E82" s="1">
        <f>IF(ABS(VALUE(teraterm[[#This Row],[Column1]]))&lt;4095,VALUE(teraterm[[#This Row],[Column1]]),0)</f>
        <v>2199</v>
      </c>
      <c r="F82" s="1">
        <f>teraterm[[#This Row],[V(V)]]^2</f>
        <v>60501.526744380608</v>
      </c>
    </row>
    <row r="83" spans="1:6" x14ac:dyDescent="0.25">
      <c r="A83" s="1" t="s">
        <v>106</v>
      </c>
      <c r="B83" s="2">
        <v>298</v>
      </c>
      <c r="C83" s="1">
        <f>(teraterm[[#This Row],[Value(V)]]+$K$2)*$S$2</f>
        <v>214.65307617187503</v>
      </c>
      <c r="D83" s="1">
        <f>(MOD(teraterm[[#This Row],[Column2]],4096)-Q$4)*$S$3*1000</f>
        <v>-25.227864583333332</v>
      </c>
      <c r="E83" s="1">
        <f>IF(ABS(VALUE(teraterm[[#This Row],[Column1]]))&lt;4095,VALUE(teraterm[[#This Row],[Column1]]),0)</f>
        <v>1918</v>
      </c>
      <c r="F83" s="1">
        <f>teraterm[[#This Row],[V(V)]]^2</f>
        <v>46075.943110048785</v>
      </c>
    </row>
    <row r="84" spans="1:6" x14ac:dyDescent="0.25">
      <c r="A84" s="1" t="s">
        <v>107</v>
      </c>
      <c r="B84" s="2">
        <v>252</v>
      </c>
      <c r="C84" s="1">
        <f>(teraterm[[#This Row],[Value(V)]]+$K$2)*$S$2</f>
        <v>186.79052734375003</v>
      </c>
      <c r="D84" s="1">
        <f>(MOD(teraterm[[#This Row],[Column2]],4096)-Q$4)*$S$3*1000</f>
        <v>-43.945312499999993</v>
      </c>
      <c r="E84" s="1">
        <f>IF(ABS(VALUE(teraterm[[#This Row],[Column1]]))&lt;4095,VALUE(teraterm[[#This Row],[Column1]]),0)</f>
        <v>1668</v>
      </c>
      <c r="F84" s="1">
        <f>teraterm[[#This Row],[V(V)]]^2</f>
        <v>34890.701105356224</v>
      </c>
    </row>
    <row r="85" spans="1:6" x14ac:dyDescent="0.25">
      <c r="A85" s="1" t="s">
        <v>108</v>
      </c>
      <c r="B85" s="2">
        <v>212</v>
      </c>
      <c r="C85" s="1">
        <f>(teraterm[[#This Row],[Value(V)]]+$K$2)*$S$2</f>
        <v>158.92797851562503</v>
      </c>
      <c r="D85" s="1">
        <f>(MOD(teraterm[[#This Row],[Column2]],4096)-Q$4)*$S$3*1000</f>
        <v>-60.221354166666664</v>
      </c>
      <c r="E85" s="1">
        <f>IF(ABS(VALUE(teraterm[[#This Row],[Column1]]))&lt;4095,VALUE(teraterm[[#This Row],[Column1]]),0)</f>
        <v>1418</v>
      </c>
      <c r="F85" s="1">
        <f>teraterm[[#This Row],[V(V)]]^2</f>
        <v>25258.102355062969</v>
      </c>
    </row>
    <row r="86" spans="1:6" x14ac:dyDescent="0.25">
      <c r="A86" s="1" t="s">
        <v>109</v>
      </c>
      <c r="B86" s="2">
        <v>152</v>
      </c>
      <c r="C86" s="1">
        <f>(teraterm[[#This Row],[Value(V)]]+$K$2)*$S$2</f>
        <v>131.39978027343753</v>
      </c>
      <c r="D86" s="1">
        <f>(MOD(teraterm[[#This Row],[Column2]],4096)-Q$4)*$S$3*1000</f>
        <v>-84.635416666666657</v>
      </c>
      <c r="E86" s="1">
        <f>IF(ABS(VALUE(teraterm[[#This Row],[Column1]]))&lt;4095,VALUE(teraterm[[#This Row],[Column1]]),0)</f>
        <v>1171</v>
      </c>
      <c r="F86" s="1">
        <f>teraterm[[#This Row],[V(V)]]^2</f>
        <v>17265.902255907662</v>
      </c>
    </row>
    <row r="87" spans="1:6" x14ac:dyDescent="0.25">
      <c r="A87" s="1" t="s">
        <v>110</v>
      </c>
      <c r="B87" s="2">
        <v>94</v>
      </c>
      <c r="C87" s="1">
        <f>(teraterm[[#This Row],[Value(V)]]+$K$2)*$S$2</f>
        <v>106.65783691406251</v>
      </c>
      <c r="D87" s="1">
        <f>(MOD(teraterm[[#This Row],[Column2]],4096)-Q$4)*$S$3*1000</f>
        <v>-108.23567708333333</v>
      </c>
      <c r="E87" s="1">
        <f>IF(ABS(VALUE(teraterm[[#This Row],[Column1]]))&lt;4095,VALUE(teraterm[[#This Row],[Column1]]),0)</f>
        <v>949</v>
      </c>
      <c r="F87" s="1">
        <f>teraterm[[#This Row],[V(V)]]^2</f>
        <v>11375.894175186757</v>
      </c>
    </row>
    <row r="88" spans="1:6" x14ac:dyDescent="0.25">
      <c r="A88" s="1" t="s">
        <v>111</v>
      </c>
      <c r="B88" s="2">
        <v>27</v>
      </c>
      <c r="C88" s="1">
        <f>(teraterm[[#This Row],[Value(V)]]+$K$2)*$S$2</f>
        <v>83.364746093750014</v>
      </c>
      <c r="D88" s="1">
        <f>(MOD(teraterm[[#This Row],[Column2]],4096)-Q$4)*$S$3*1000</f>
        <v>-135.498046875</v>
      </c>
      <c r="E88" s="1">
        <f>IF(ABS(VALUE(teraterm[[#This Row],[Column1]]))&lt;4095,VALUE(teraterm[[#This Row],[Column1]]),0)</f>
        <v>740</v>
      </c>
      <c r="F88" s="1">
        <f>teraterm[[#This Row],[V(V)]]^2</f>
        <v>6949.6808912754086</v>
      </c>
    </row>
    <row r="89" spans="1:6" x14ac:dyDescent="0.25">
      <c r="A89" s="1" t="s">
        <v>112</v>
      </c>
      <c r="B89" s="2">
        <v>4075</v>
      </c>
      <c r="C89" s="1">
        <f>(teraterm[[#This Row],[Value(V)]]+$K$2)*$S$2</f>
        <v>62.523559570312507</v>
      </c>
      <c r="D89" s="1">
        <f>(MOD(teraterm[[#This Row],[Column2]],4096)-Q$4)*$S$3*1000</f>
        <v>1511.6373697916665</v>
      </c>
      <c r="E89" s="1">
        <f>IF(ABS(VALUE(teraterm[[#This Row],[Column1]]))&lt;4095,VALUE(teraterm[[#This Row],[Column1]]),0)</f>
        <v>553</v>
      </c>
      <c r="F89" s="1">
        <f>teraterm[[#This Row],[V(V)]]^2</f>
        <v>3909.1955013424167</v>
      </c>
    </row>
    <row r="90" spans="1:6" x14ac:dyDescent="0.25">
      <c r="A90" s="1" t="s">
        <v>113</v>
      </c>
      <c r="B90" s="2">
        <v>4016</v>
      </c>
      <c r="C90" s="1">
        <f>(teraterm[[#This Row],[Value(V)]]+$K$2)*$S$2</f>
        <v>46.363281250000007</v>
      </c>
      <c r="D90" s="1">
        <f>(MOD(teraterm[[#This Row],[Column2]],4096)-Q$4)*$S$3*1000</f>
        <v>1487.6302083333333</v>
      </c>
      <c r="E90" s="1">
        <f>IF(ABS(VALUE(teraterm[[#This Row],[Column1]]))&lt;4095,VALUE(teraterm[[#This Row],[Column1]]),0)</f>
        <v>408</v>
      </c>
      <c r="F90" s="1">
        <f>teraterm[[#This Row],[V(V)]]^2</f>
        <v>2149.553848266602</v>
      </c>
    </row>
    <row r="91" spans="1:6" x14ac:dyDescent="0.25">
      <c r="A91" s="1" t="s">
        <v>114</v>
      </c>
      <c r="B91" s="2">
        <v>4004</v>
      </c>
      <c r="C91" s="1">
        <f>(teraterm[[#This Row],[Value(V)]]+$K$2)*$S$2</f>
        <v>34.883911132812507</v>
      </c>
      <c r="D91" s="1">
        <f>(MOD(teraterm[[#This Row],[Column2]],4096)-Q$4)*$S$3*1000</f>
        <v>1482.7473958333333</v>
      </c>
      <c r="E91" s="1">
        <f>IF(ABS(VALUE(teraterm[[#This Row],[Column1]]))&lt;4095,VALUE(teraterm[[#This Row],[Column1]]),0)</f>
        <v>305</v>
      </c>
      <c r="F91" s="1">
        <f>teraterm[[#This Row],[V(V)]]^2</f>
        <v>1216.8872559219603</v>
      </c>
    </row>
    <row r="92" spans="1:6" x14ac:dyDescent="0.25">
      <c r="A92" s="1" t="s">
        <v>77</v>
      </c>
      <c r="B92" s="2">
        <v>3984</v>
      </c>
      <c r="C92" s="1">
        <f>(teraterm[[#This Row],[Value(V)]]+$K$2)*$S$2</f>
        <v>30.314453125000004</v>
      </c>
      <c r="D92" s="1">
        <f>(MOD(teraterm[[#This Row],[Column2]],4096)-Q$4)*$S$3*1000</f>
        <v>1474.6093749999998</v>
      </c>
      <c r="E92" s="1">
        <f>IF(ABS(VALUE(teraterm[[#This Row],[Column1]]))&lt;4095,VALUE(teraterm[[#This Row],[Column1]]),0)</f>
        <v>264</v>
      </c>
      <c r="F92" s="1">
        <f>teraterm[[#This Row],[V(V)]]^2</f>
        <v>918.96606826782249</v>
      </c>
    </row>
    <row r="93" spans="1:6" x14ac:dyDescent="0.25">
      <c r="A93" s="1" t="s">
        <v>115</v>
      </c>
      <c r="B93" s="2">
        <v>3970</v>
      </c>
      <c r="C93" s="1">
        <f>(teraterm[[#This Row],[Value(V)]]+$K$2)*$S$2</f>
        <v>28.642700195312504</v>
      </c>
      <c r="D93" s="1">
        <f>(MOD(teraterm[[#This Row],[Column2]],4096)-Q$4)*$S$3*1000</f>
        <v>1468.9127604166665</v>
      </c>
      <c r="E93" s="1">
        <f>IF(ABS(VALUE(teraterm[[#This Row],[Column1]]))&lt;4095,VALUE(teraterm[[#This Row],[Column1]]),0)</f>
        <v>249</v>
      </c>
      <c r="F93" s="1">
        <f>teraterm[[#This Row],[V(V)]]^2</f>
        <v>820.40427447855495</v>
      </c>
    </row>
    <row r="94" spans="1:6" x14ac:dyDescent="0.25">
      <c r="A94" s="1" t="s">
        <v>25</v>
      </c>
      <c r="B94" s="2">
        <v>3989</v>
      </c>
      <c r="C94" s="1">
        <f>(teraterm[[#This Row],[Value(V)]]+$K$2)*$S$2</f>
        <v>27.973999023437504</v>
      </c>
      <c r="D94" s="1">
        <f>(MOD(teraterm[[#This Row],[Column2]],4096)-Q$4)*$S$3*1000</f>
        <v>1476.6438802083333</v>
      </c>
      <c r="E94" s="1">
        <f>IF(ABS(VALUE(teraterm[[#This Row],[Column1]]))&lt;4095,VALUE(teraterm[[#This Row],[Column1]]),0)</f>
        <v>243</v>
      </c>
      <c r="F94" s="1">
        <f>teraterm[[#This Row],[V(V)]]^2</f>
        <v>782.54462136328243</v>
      </c>
    </row>
    <row r="95" spans="1:6" x14ac:dyDescent="0.25">
      <c r="A95" s="1" t="s">
        <v>22</v>
      </c>
      <c r="B95" s="2">
        <v>3983</v>
      </c>
      <c r="C95" s="1">
        <f>(teraterm[[#This Row],[Value(V)]]+$K$2)*$S$2</f>
        <v>28.308349609375004</v>
      </c>
      <c r="D95" s="1">
        <f>(MOD(teraterm[[#This Row],[Column2]],4096)-Q$4)*$S$3*1000</f>
        <v>1474.2024739583333</v>
      </c>
      <c r="E95" s="1">
        <f>IF(ABS(VALUE(teraterm[[#This Row],[Column1]]))&lt;4095,VALUE(teraterm[[#This Row],[Column1]]),0)</f>
        <v>246</v>
      </c>
      <c r="F95" s="1">
        <f>teraterm[[#This Row],[V(V)]]^2</f>
        <v>801.36265760660194</v>
      </c>
    </row>
    <row r="96" spans="1:6" x14ac:dyDescent="0.25">
      <c r="A96" s="1" t="s">
        <v>116</v>
      </c>
      <c r="B96" s="2">
        <v>3998</v>
      </c>
      <c r="C96" s="1">
        <f>(teraterm[[#This Row],[Value(V)]]+$K$2)*$S$2</f>
        <v>32.209106445312507</v>
      </c>
      <c r="D96" s="1">
        <f>(MOD(teraterm[[#This Row],[Column2]],4096)-Q$4)*$S$3*1000</f>
        <v>1480.3059895833333</v>
      </c>
      <c r="E96" s="1">
        <f>IF(ABS(VALUE(teraterm[[#This Row],[Column1]]))&lt;4095,VALUE(teraterm[[#This Row],[Column1]]),0)</f>
        <v>281</v>
      </c>
      <c r="F96" s="1">
        <f>teraterm[[#This Row],[V(V)]]^2</f>
        <v>1037.4265380054717</v>
      </c>
    </row>
    <row r="97" spans="1:6" x14ac:dyDescent="0.25">
      <c r="A97" s="1" t="s">
        <v>117</v>
      </c>
      <c r="B97" s="2">
        <v>4052</v>
      </c>
      <c r="C97" s="1">
        <f>(teraterm[[#This Row],[Value(V)]]+$K$2)*$S$2</f>
        <v>46.140380859375007</v>
      </c>
      <c r="D97" s="1">
        <f>(MOD(teraterm[[#This Row],[Column2]],4096)-Q$4)*$S$3*1000</f>
        <v>1502.2786458333333</v>
      </c>
      <c r="E97" s="1">
        <f>IF(ABS(VALUE(teraterm[[#This Row],[Column1]]))&lt;4095,VALUE(teraterm[[#This Row],[Column1]]),0)</f>
        <v>406</v>
      </c>
      <c r="F97" s="1">
        <f>teraterm[[#This Row],[V(V)]]^2</f>
        <v>2128.9347458481793</v>
      </c>
    </row>
    <row r="98" spans="1:6" x14ac:dyDescent="0.25">
      <c r="A98" s="1" t="s">
        <v>118</v>
      </c>
      <c r="B98" s="2">
        <v>20</v>
      </c>
      <c r="C98" s="1">
        <f>(teraterm[[#This Row],[Value(V)]]+$K$2)*$S$2</f>
        <v>70.213623046875014</v>
      </c>
      <c r="D98" s="1">
        <f>(MOD(teraterm[[#This Row],[Column2]],4096)-Q$4)*$S$3*1000</f>
        <v>-138.34635416666666</v>
      </c>
      <c r="E98" s="1">
        <f>IF(ABS(VALUE(teraterm[[#This Row],[Column1]]))&lt;4095,VALUE(teraterm[[#This Row],[Column1]]),0)</f>
        <v>622</v>
      </c>
      <c r="F98" s="1">
        <f>teraterm[[#This Row],[V(V)]]^2</f>
        <v>4929.952861368658</v>
      </c>
    </row>
    <row r="99" spans="1:6" x14ac:dyDescent="0.25">
      <c r="A99" s="1" t="s">
        <v>119</v>
      </c>
      <c r="B99" s="2">
        <v>73</v>
      </c>
      <c r="C99" s="1">
        <f>(teraterm[[#This Row],[Value(V)]]+$K$2)*$S$2</f>
        <v>92.838012695312514</v>
      </c>
      <c r="D99" s="1">
        <f>(MOD(teraterm[[#This Row],[Column2]],4096)-Q$4)*$S$3*1000</f>
        <v>-116.78059895833333</v>
      </c>
      <c r="E99" s="1">
        <f>IF(ABS(VALUE(teraterm[[#This Row],[Column1]]))&lt;4095,VALUE(teraterm[[#This Row],[Column1]]),0)</f>
        <v>825</v>
      </c>
      <c r="F99" s="1">
        <f>teraterm[[#This Row],[V(V)]]^2</f>
        <v>8618.8966012150067</v>
      </c>
    </row>
    <row r="100" spans="1:6" x14ac:dyDescent="0.25">
      <c r="A100" s="1" t="s">
        <v>120</v>
      </c>
      <c r="B100" s="2">
        <v>133</v>
      </c>
      <c r="C100" s="1">
        <f>(teraterm[[#This Row],[Value(V)]]+$K$2)*$S$2</f>
        <v>115.90820312500001</v>
      </c>
      <c r="D100" s="1">
        <f>(MOD(teraterm[[#This Row],[Column2]],4096)-Q$4)*$S$3*1000</f>
        <v>-92.366536458333329</v>
      </c>
      <c r="E100" s="1">
        <f>IF(ABS(VALUE(teraterm[[#This Row],[Column1]]))&lt;4095,VALUE(teraterm[[#This Row],[Column1]]),0)</f>
        <v>1032</v>
      </c>
      <c r="F100" s="1">
        <f>teraterm[[#This Row],[V(V)]]^2</f>
        <v>13434.711551666263</v>
      </c>
    </row>
    <row r="101" spans="1:6" x14ac:dyDescent="0.25">
      <c r="A101" s="1" t="s">
        <v>121</v>
      </c>
      <c r="B101" s="2">
        <v>185</v>
      </c>
      <c r="C101" s="1">
        <f>(teraterm[[#This Row],[Value(V)]]+$K$2)*$S$2</f>
        <v>142.43334960937503</v>
      </c>
      <c r="D101" s="1">
        <f>(MOD(teraterm[[#This Row],[Column2]],4096)-Q$4)*$S$3*1000</f>
        <v>-71.207682291666657</v>
      </c>
      <c r="E101" s="1">
        <f>IF(ABS(VALUE(teraterm[[#This Row],[Column1]]))&lt;4095,VALUE(teraterm[[#This Row],[Column1]]),0)</f>
        <v>1270</v>
      </c>
      <c r="F101" s="1">
        <f>teraterm[[#This Row],[V(V)]]^2</f>
        <v>20287.259080946453</v>
      </c>
    </row>
    <row r="102" spans="1:6" x14ac:dyDescent="0.25">
      <c r="A102" s="1" t="s">
        <v>21</v>
      </c>
      <c r="B102" s="2">
        <v>216</v>
      </c>
      <c r="C102" s="1">
        <f>(teraterm[[#This Row],[Value(V)]]+$K$2)*$S$2</f>
        <v>170.18444824218753</v>
      </c>
      <c r="D102" s="1">
        <f>(MOD(teraterm[[#This Row],[Column2]],4096)-Q$4)*$S$3*1000</f>
        <v>-58.593749999999993</v>
      </c>
      <c r="E102" s="1">
        <f>IF(ABS(VALUE(teraterm[[#This Row],[Column1]]))&lt;4095,VALUE(teraterm[[#This Row],[Column1]]),0)</f>
        <v>1519</v>
      </c>
      <c r="F102" s="1">
        <f>teraterm[[#This Row],[V(V)]]^2</f>
        <v>28962.746423497807</v>
      </c>
    </row>
    <row r="103" spans="1:6" x14ac:dyDescent="0.25">
      <c r="A103" s="1" t="s">
        <v>122</v>
      </c>
      <c r="B103" s="2">
        <v>267</v>
      </c>
      <c r="C103" s="1">
        <f>(teraterm[[#This Row],[Value(V)]]+$K$2)*$S$2</f>
        <v>198.49279785156253</v>
      </c>
      <c r="D103" s="1">
        <f>(MOD(teraterm[[#This Row],[Column2]],4096)-Q$4)*$S$3*1000</f>
        <v>-37.841796875</v>
      </c>
      <c r="E103" s="1">
        <f>IF(ABS(VALUE(teraterm[[#This Row],[Column1]]))&lt;4095,VALUE(teraterm[[#This Row],[Column1]]),0)</f>
        <v>1773</v>
      </c>
      <c r="F103" s="1">
        <f>teraterm[[#This Row],[V(V)]]^2</f>
        <v>39399.390798941269</v>
      </c>
    </row>
    <row r="104" spans="1:6" x14ac:dyDescent="0.25">
      <c r="A104" s="1" t="s">
        <v>123</v>
      </c>
      <c r="B104" s="2">
        <v>312</v>
      </c>
      <c r="C104" s="1">
        <f>(teraterm[[#This Row],[Value(V)]]+$K$2)*$S$2</f>
        <v>229.58740234375003</v>
      </c>
      <c r="D104" s="1">
        <f>(MOD(teraterm[[#This Row],[Column2]],4096)-Q$4)*$S$3*1000</f>
        <v>-19.53125</v>
      </c>
      <c r="E104" s="1">
        <f>IF(ABS(VALUE(teraterm[[#This Row],[Column1]]))&lt;4095,VALUE(teraterm[[#This Row],[Column1]]),0)</f>
        <v>2052</v>
      </c>
      <c r="F104" s="1">
        <f>teraterm[[#This Row],[V(V)]]^2</f>
        <v>52710.375314950958</v>
      </c>
    </row>
    <row r="105" spans="1:6" x14ac:dyDescent="0.25">
      <c r="A105" s="1" t="s">
        <v>124</v>
      </c>
      <c r="B105" s="2">
        <v>373</v>
      </c>
      <c r="C105" s="1">
        <f>(teraterm[[#This Row],[Value(V)]]+$K$2)*$S$2</f>
        <v>261.12780761718756</v>
      </c>
      <c r="D105" s="1">
        <f>(MOD(teraterm[[#This Row],[Column2]],4096)-Q$4)*$S$3*1000</f>
        <v>5.2897135416666661</v>
      </c>
      <c r="E105" s="1">
        <f>IF(ABS(VALUE(teraterm[[#This Row],[Column1]]))&lt;4095,VALUE(teraterm[[#This Row],[Column1]]),0)</f>
        <v>2335</v>
      </c>
      <c r="F105" s="1">
        <f>teraterm[[#This Row],[V(V)]]^2</f>
        <v>68187.731910958915</v>
      </c>
    </row>
    <row r="106" spans="1:6" x14ac:dyDescent="0.25">
      <c r="A106" s="1" t="s">
        <v>125</v>
      </c>
      <c r="B106" s="2">
        <v>408</v>
      </c>
      <c r="C106" s="1">
        <f>(teraterm[[#This Row],[Value(V)]]+$K$2)*$S$2</f>
        <v>288.65600585937506</v>
      </c>
      <c r="D106" s="1">
        <f>(MOD(teraterm[[#This Row],[Column2]],4096)-Q$4)*$S$3*1000</f>
        <v>19.53125</v>
      </c>
      <c r="E106" s="1">
        <f>IF(ABS(VALUE(teraterm[[#This Row],[Column1]]))&lt;4095,VALUE(teraterm[[#This Row],[Column1]]),0)</f>
        <v>2582</v>
      </c>
      <c r="F106" s="1">
        <f>teraterm[[#This Row],[V(V)]]^2</f>
        <v>83322.289718687563</v>
      </c>
    </row>
    <row r="107" spans="1:6" x14ac:dyDescent="0.25">
      <c r="A107" s="1" t="s">
        <v>63</v>
      </c>
      <c r="B107" s="2">
        <v>438</v>
      </c>
      <c r="C107" s="1">
        <f>(teraterm[[#This Row],[Value(V)]]+$K$2)*$S$2</f>
        <v>315.62695312500006</v>
      </c>
      <c r="D107" s="1">
        <f>(MOD(teraterm[[#This Row],[Column2]],4096)-Q$4)*$S$3*1000</f>
        <v>31.73828125</v>
      </c>
      <c r="E107" s="1">
        <f>IF(ABS(VALUE(teraterm[[#This Row],[Column1]]))&lt;4095,VALUE(teraterm[[#This Row],[Column1]]),0)</f>
        <v>2824</v>
      </c>
      <c r="F107" s="1">
        <f>teraterm[[#This Row],[V(V)]]^2</f>
        <v>99620.373538970976</v>
      </c>
    </row>
    <row r="108" spans="1:6" x14ac:dyDescent="0.25">
      <c r="A108" s="1" t="s">
        <v>126</v>
      </c>
      <c r="B108" s="2">
        <v>510</v>
      </c>
      <c r="C108" s="1">
        <f>(teraterm[[#This Row],[Value(V)]]+$K$2)*$S$2</f>
        <v>342.26354980468756</v>
      </c>
      <c r="D108" s="1">
        <f>(MOD(teraterm[[#This Row],[Column2]],4096)-Q$4)*$S$3*1000</f>
        <v>61.035156249999993</v>
      </c>
      <c r="E108" s="1">
        <f>IF(ABS(VALUE(teraterm[[#This Row],[Column1]]))&lt;4095,VALUE(teraterm[[#This Row],[Column1]]),0)</f>
        <v>3063</v>
      </c>
      <c r="F108" s="1">
        <f>teraterm[[#This Row],[V(V)]]^2</f>
        <v>117144.33752490584</v>
      </c>
    </row>
    <row r="109" spans="1:6" x14ac:dyDescent="0.25">
      <c r="A109" s="1" t="s">
        <v>127</v>
      </c>
      <c r="B109" s="2">
        <v>540</v>
      </c>
      <c r="C109" s="1">
        <f>(teraterm[[#This Row],[Value(V)]]+$K$2)*$S$2</f>
        <v>366.55969238281256</v>
      </c>
      <c r="D109" s="1">
        <f>(MOD(teraterm[[#This Row],[Column2]],4096)-Q$4)*$S$3*1000</f>
        <v>73.2421875</v>
      </c>
      <c r="E109" s="1">
        <f>IF(ABS(VALUE(teraterm[[#This Row],[Column1]]))&lt;4095,VALUE(teraterm[[#This Row],[Column1]]),0)</f>
        <v>3281</v>
      </c>
      <c r="F109" s="1">
        <f>teraterm[[#This Row],[V(V)]]^2</f>
        <v>134366.00807978216</v>
      </c>
    </row>
    <row r="110" spans="1:6" x14ac:dyDescent="0.25">
      <c r="A110" s="1" t="s">
        <v>128</v>
      </c>
      <c r="B110" s="2">
        <v>579</v>
      </c>
      <c r="C110" s="1">
        <f>(teraterm[[#This Row],[Value(V)]]+$K$2)*$S$2</f>
        <v>388.62683105468756</v>
      </c>
      <c r="D110" s="1">
        <f>(MOD(teraterm[[#This Row],[Column2]],4096)-Q$4)*$S$3*1000</f>
        <v>89.111328124999986</v>
      </c>
      <c r="E110" s="1">
        <f>IF(ABS(VALUE(teraterm[[#This Row],[Column1]]))&lt;4095,VALUE(teraterm[[#This Row],[Column1]]),0)</f>
        <v>3479</v>
      </c>
      <c r="F110" s="1">
        <f>teraterm[[#This Row],[V(V)]]^2</f>
        <v>151030.81381560868</v>
      </c>
    </row>
    <row r="111" spans="1:6" x14ac:dyDescent="0.25">
      <c r="A111" s="1" t="s">
        <v>129</v>
      </c>
      <c r="B111" s="2">
        <v>609</v>
      </c>
      <c r="C111" s="1">
        <f>(teraterm[[#This Row],[Value(V)]]+$K$2)*$S$2</f>
        <v>409.57946777343756</v>
      </c>
      <c r="D111" s="1">
        <f>(MOD(teraterm[[#This Row],[Column2]],4096)-Q$4)*$S$3*1000</f>
        <v>101.31835937499999</v>
      </c>
      <c r="E111" s="1">
        <f>IF(ABS(VALUE(teraterm[[#This Row],[Column1]]))&lt;4095,VALUE(teraterm[[#This Row],[Column1]]),0)</f>
        <v>3667</v>
      </c>
      <c r="F111" s="1">
        <f>teraterm[[#This Row],[V(V)]]^2</f>
        <v>167755.34042157239</v>
      </c>
    </row>
    <row r="112" spans="1:6" x14ac:dyDescent="0.25">
      <c r="A112" s="1" t="s">
        <v>130</v>
      </c>
      <c r="B112" s="2">
        <v>624</v>
      </c>
      <c r="C112" s="1">
        <f>(teraterm[[#This Row],[Value(V)]]+$K$2)*$S$2</f>
        <v>426.40844726562506</v>
      </c>
      <c r="D112" s="1">
        <f>(MOD(teraterm[[#This Row],[Column2]],4096)-Q$4)*$S$3*1000</f>
        <v>107.42187499999999</v>
      </c>
      <c r="E112" s="1">
        <f>IF(ABS(VALUE(teraterm[[#This Row],[Column1]]))&lt;4095,VALUE(teraterm[[#This Row],[Column1]]),0)</f>
        <v>3818</v>
      </c>
      <c r="F112" s="1">
        <f>teraterm[[#This Row],[V(V)]]^2</f>
        <v>181824.16389948135</v>
      </c>
    </row>
    <row r="113" spans="1:6" x14ac:dyDescent="0.25">
      <c r="A113" s="1" t="s">
        <v>131</v>
      </c>
      <c r="B113" s="2">
        <v>651</v>
      </c>
      <c r="C113" s="1">
        <f>(teraterm[[#This Row],[Value(V)]]+$K$2)*$S$2</f>
        <v>438.33361816406256</v>
      </c>
      <c r="D113" s="1">
        <f>(MOD(teraterm[[#This Row],[Column2]],4096)-Q$4)*$S$3*1000</f>
        <v>118.40820312499999</v>
      </c>
      <c r="E113" s="1">
        <f>IF(ABS(VALUE(teraterm[[#This Row],[Column1]]))&lt;4095,VALUE(teraterm[[#This Row],[Column1]]),0)</f>
        <v>3925</v>
      </c>
      <c r="F113" s="1">
        <f>teraterm[[#This Row],[V(V)]]^2</f>
        <v>192136.3608127982</v>
      </c>
    </row>
    <row r="114" spans="1:6" x14ac:dyDescent="0.25">
      <c r="A114" s="1" t="s">
        <v>132</v>
      </c>
      <c r="B114" s="2">
        <v>665</v>
      </c>
      <c r="C114" s="1">
        <f>(teraterm[[#This Row],[Value(V)]]+$K$2)*$S$2</f>
        <v>444.57482910156256</v>
      </c>
      <c r="D114" s="1">
        <f>(MOD(teraterm[[#This Row],[Column2]],4096)-Q$4)*$S$3*1000</f>
        <v>124.10481770833333</v>
      </c>
      <c r="E114" s="1">
        <f>IF(ABS(VALUE(teraterm[[#This Row],[Column1]]))&lt;4095,VALUE(teraterm[[#This Row],[Column1]]),0)</f>
        <v>3981</v>
      </c>
      <c r="F114" s="1">
        <f>teraterm[[#This Row],[V(V)]]^2</f>
        <v>197646.77867068356</v>
      </c>
    </row>
    <row r="115" spans="1:6" x14ac:dyDescent="0.25">
      <c r="A115" s="1" t="s">
        <v>133</v>
      </c>
      <c r="B115" s="2">
        <v>670</v>
      </c>
      <c r="C115" s="1">
        <f>(teraterm[[#This Row],[Value(V)]]+$K$2)*$S$2</f>
        <v>447.02673339843756</v>
      </c>
      <c r="D115" s="1">
        <f>(MOD(teraterm[[#This Row],[Column2]],4096)-Q$4)*$S$3*1000</f>
        <v>126.13932291666666</v>
      </c>
      <c r="E115" s="1">
        <f>IF(ABS(VALUE(teraterm[[#This Row],[Column1]]))&lt;4095,VALUE(teraterm[[#This Row],[Column1]]),0)</f>
        <v>4003</v>
      </c>
      <c r="F115" s="1">
        <f>teraterm[[#This Row],[V(V)]]^2</f>
        <v>199832.90037287778</v>
      </c>
    </row>
    <row r="116" spans="1:6" x14ac:dyDescent="0.25">
      <c r="A116" s="1" t="s">
        <v>134</v>
      </c>
      <c r="B116" s="2">
        <v>657</v>
      </c>
      <c r="C116" s="1">
        <f>(teraterm[[#This Row],[Value(V)]]+$K$2)*$S$2</f>
        <v>448.58703613281256</v>
      </c>
      <c r="D116" s="1">
        <f>(MOD(teraterm[[#This Row],[Column2]],4096)-Q$4)*$S$3*1000</f>
        <v>120.84960937499999</v>
      </c>
      <c r="E116" s="1">
        <f>IF(ABS(VALUE(teraterm[[#This Row],[Column1]]))&lt;4095,VALUE(teraterm[[#This Row],[Column1]]),0)</f>
        <v>4017</v>
      </c>
      <c r="F116" s="1">
        <f>teraterm[[#This Row],[V(V)]]^2</f>
        <v>201230.32898642129</v>
      </c>
    </row>
    <row r="117" spans="1:6" x14ac:dyDescent="0.25">
      <c r="A117" s="1" t="s">
        <v>56</v>
      </c>
      <c r="B117" s="2">
        <v>645</v>
      </c>
      <c r="C117" s="1">
        <f>(teraterm[[#This Row],[Value(V)]]+$K$2)*$S$2</f>
        <v>449.36718750000006</v>
      </c>
      <c r="D117" s="1">
        <f>(MOD(teraterm[[#This Row],[Column2]],4096)-Q$4)*$S$3*1000</f>
        <v>115.96679687499999</v>
      </c>
      <c r="E117" s="1">
        <f>IF(ABS(VALUE(teraterm[[#This Row],[Column1]]))&lt;4095,VALUE(teraterm[[#This Row],[Column1]]),0)</f>
        <v>4024</v>
      </c>
      <c r="F117" s="1">
        <f>teraterm[[#This Row],[V(V)]]^2</f>
        <v>201930.86920166021</v>
      </c>
    </row>
    <row r="118" spans="1:6" x14ac:dyDescent="0.25">
      <c r="A118" s="1" t="s">
        <v>135</v>
      </c>
      <c r="B118" s="2">
        <v>655</v>
      </c>
      <c r="C118" s="1">
        <f>(teraterm[[#This Row],[Value(V)]]+$K$2)*$S$2</f>
        <v>447.91833496093756</v>
      </c>
      <c r="D118" s="1">
        <f>(MOD(teraterm[[#This Row],[Column2]],4096)-Q$4)*$S$3*1000</f>
        <v>120.03580729166666</v>
      </c>
      <c r="E118" s="1">
        <f>IF(ABS(VALUE(teraterm[[#This Row],[Column1]]))&lt;4095,VALUE(teraterm[[#This Row],[Column1]]),0)</f>
        <v>4011</v>
      </c>
      <c r="F118" s="1">
        <f>teraterm[[#This Row],[V(V)]]^2</f>
        <v>200630.83479417866</v>
      </c>
    </row>
    <row r="119" spans="1:6" x14ac:dyDescent="0.25">
      <c r="A119" s="1" t="s">
        <v>136</v>
      </c>
      <c r="B119" s="2">
        <v>639</v>
      </c>
      <c r="C119" s="1">
        <f>(teraterm[[#This Row],[Value(V)]]+$K$2)*$S$2</f>
        <v>438.66796875000006</v>
      </c>
      <c r="D119" s="1">
        <f>(MOD(teraterm[[#This Row],[Column2]],4096)-Q$4)*$S$3*1000</f>
        <v>113.52539062499999</v>
      </c>
      <c r="E119" s="1">
        <f>IF(ABS(VALUE(teraterm[[#This Row],[Column1]]))&lt;4095,VALUE(teraterm[[#This Row],[Column1]]),0)</f>
        <v>3928</v>
      </c>
      <c r="F119" s="1">
        <f>teraterm[[#This Row],[V(V)]]^2</f>
        <v>192429.58680725103</v>
      </c>
    </row>
    <row r="120" spans="1:6" x14ac:dyDescent="0.25">
      <c r="A120" s="1" t="s">
        <v>137</v>
      </c>
      <c r="B120" s="2">
        <v>593</v>
      </c>
      <c r="C120" s="1">
        <f>(teraterm[[#This Row],[Value(V)]]+$K$2)*$S$2</f>
        <v>418.16113281250006</v>
      </c>
      <c r="D120" s="1">
        <f>(MOD(teraterm[[#This Row],[Column2]],4096)-Q$4)*$S$3*1000</f>
        <v>94.807942708333329</v>
      </c>
      <c r="E120" s="1">
        <f>IF(ABS(VALUE(teraterm[[#This Row],[Column1]]))&lt;4095,VALUE(teraterm[[#This Row],[Column1]]),0)</f>
        <v>3744</v>
      </c>
      <c r="F120" s="1">
        <f>teraterm[[#This Row],[V(V)]]^2</f>
        <v>174858.73299503332</v>
      </c>
    </row>
    <row r="121" spans="1:6" x14ac:dyDescent="0.25">
      <c r="A121" s="1" t="s">
        <v>138</v>
      </c>
      <c r="B121" s="2">
        <v>566</v>
      </c>
      <c r="C121" s="1">
        <f>(teraterm[[#This Row],[Value(V)]]+$K$2)*$S$2</f>
        <v>396.42834472656256</v>
      </c>
      <c r="D121" s="1">
        <f>(MOD(teraterm[[#This Row],[Column2]],4096)-Q$4)*$S$3*1000</f>
        <v>83.821614583333329</v>
      </c>
      <c r="E121" s="1">
        <f>IF(ABS(VALUE(teraterm[[#This Row],[Column1]]))&lt;4095,VALUE(teraterm[[#This Row],[Column1]]),0)</f>
        <v>3549</v>
      </c>
      <c r="F121" s="1">
        <f>teraterm[[#This Row],[V(V)]]^2</f>
        <v>157155.43250264233</v>
      </c>
    </row>
    <row r="122" spans="1:6" x14ac:dyDescent="0.25">
      <c r="A122" s="1" t="s">
        <v>139</v>
      </c>
      <c r="B122" s="2">
        <v>552</v>
      </c>
      <c r="C122" s="1">
        <f>(teraterm[[#This Row],[Value(V)]]+$K$2)*$S$2</f>
        <v>375.69860839843756</v>
      </c>
      <c r="D122" s="1">
        <f>(MOD(teraterm[[#This Row],[Column2]],4096)-Q$4)*$S$3*1000</f>
        <v>78.125</v>
      </c>
      <c r="E122" s="1">
        <f>IF(ABS(VALUE(teraterm[[#This Row],[Column1]]))&lt;4095,VALUE(teraterm[[#This Row],[Column1]]),0)</f>
        <v>3363</v>
      </c>
      <c r="F122" s="1">
        <f>teraterm[[#This Row],[V(V)]]^2</f>
        <v>141149.44435252252</v>
      </c>
    </row>
    <row r="123" spans="1:6" x14ac:dyDescent="0.25">
      <c r="A123" s="1" t="s">
        <v>140</v>
      </c>
      <c r="B123" s="2">
        <v>507</v>
      </c>
      <c r="C123" s="1">
        <f>(teraterm[[#This Row],[Value(V)]]+$K$2)*$S$2</f>
        <v>351.06811523437506</v>
      </c>
      <c r="D123" s="1">
        <f>(MOD(teraterm[[#This Row],[Column2]],4096)-Q$4)*$S$3*1000</f>
        <v>59.814453124999993</v>
      </c>
      <c r="E123" s="1">
        <f>IF(ABS(VALUE(teraterm[[#This Row],[Column1]]))&lt;4095,VALUE(teraterm[[#This Row],[Column1]]),0)</f>
        <v>3142</v>
      </c>
      <c r="F123" s="1">
        <f>teraterm[[#This Row],[V(V)]]^2</f>
        <v>123248.82153421645</v>
      </c>
    </row>
    <row r="124" spans="1:6" x14ac:dyDescent="0.25">
      <c r="A124" s="1" t="s">
        <v>141</v>
      </c>
      <c r="B124" s="2">
        <v>453</v>
      </c>
      <c r="C124" s="1">
        <f>(teraterm[[#This Row],[Value(V)]]+$K$2)*$S$2</f>
        <v>323.53991699218756</v>
      </c>
      <c r="D124" s="1">
        <f>(MOD(teraterm[[#This Row],[Column2]],4096)-Q$4)*$S$3*1000</f>
        <v>37.841796875</v>
      </c>
      <c r="E124" s="1">
        <f>IF(ABS(VALUE(teraterm[[#This Row],[Column1]]))&lt;4095,VALUE(teraterm[[#This Row],[Column1]]),0)</f>
        <v>2895</v>
      </c>
      <c r="F124" s="1">
        <f>teraterm[[#This Row],[V(V)]]^2</f>
        <v>104678.07788731162</v>
      </c>
    </row>
    <row r="125" spans="1:6" x14ac:dyDescent="0.25">
      <c r="A125" s="1" t="s">
        <v>142</v>
      </c>
      <c r="B125" s="2">
        <v>411</v>
      </c>
      <c r="C125" s="1">
        <f>(teraterm[[#This Row],[Value(V)]]+$K$2)*$S$2</f>
        <v>296.68041992187506</v>
      </c>
      <c r="D125" s="1">
        <f>(MOD(teraterm[[#This Row],[Column2]],4096)-Q$4)*$S$3*1000</f>
        <v>20.751953124999996</v>
      </c>
      <c r="E125" s="1">
        <f>IF(ABS(VALUE(teraterm[[#This Row],[Column1]]))&lt;4095,VALUE(teraterm[[#This Row],[Column1]]),0)</f>
        <v>2654</v>
      </c>
      <c r="F125" s="1">
        <f>teraterm[[#This Row],[V(V)]]^2</f>
        <v>88019.271565020113</v>
      </c>
    </row>
    <row r="126" spans="1:6" x14ac:dyDescent="0.25">
      <c r="A126" s="1" t="s">
        <v>143</v>
      </c>
      <c r="B126" s="2">
        <v>369</v>
      </c>
      <c r="C126" s="1">
        <f>(teraterm[[#This Row],[Value(V)]]+$K$2)*$S$2</f>
        <v>266.47741699218756</v>
      </c>
      <c r="D126" s="1">
        <f>(MOD(teraterm[[#This Row],[Column2]],4096)-Q$4)*$S$3*1000</f>
        <v>3.6621093749999996</v>
      </c>
      <c r="E126" s="1">
        <f>IF(ABS(VALUE(teraterm[[#This Row],[Column1]]))&lt;4095,VALUE(teraterm[[#This Row],[Column1]]),0)</f>
        <v>2383</v>
      </c>
      <c r="F126" s="1">
        <f>teraterm[[#This Row],[V(V)]]^2</f>
        <v>71010.213766828208</v>
      </c>
    </row>
    <row r="127" spans="1:6" x14ac:dyDescent="0.25">
      <c r="A127" s="1" t="s">
        <v>144</v>
      </c>
      <c r="B127" s="2">
        <v>318</v>
      </c>
      <c r="C127" s="1">
        <f>(teraterm[[#This Row],[Value(V)]]+$K$2)*$S$2</f>
        <v>234.93701171875003</v>
      </c>
      <c r="D127" s="1">
        <f>(MOD(teraterm[[#This Row],[Column2]],4096)-Q$4)*$S$3*1000</f>
        <v>-17.08984375</v>
      </c>
      <c r="E127" s="1">
        <f>IF(ABS(VALUE(teraterm[[#This Row],[Column1]]))&lt;4095,VALUE(teraterm[[#This Row],[Column1]]),0)</f>
        <v>2100</v>
      </c>
      <c r="F127" s="1">
        <f>teraterm[[#This Row],[V(V)]]^2</f>
        <v>55195.399475336089</v>
      </c>
    </row>
    <row r="128" spans="1:6" x14ac:dyDescent="0.25">
      <c r="A128" s="1" t="s">
        <v>145</v>
      </c>
      <c r="B128" s="2">
        <v>269</v>
      </c>
      <c r="C128" s="1">
        <f>(teraterm[[#This Row],[Value(V)]]+$K$2)*$S$2</f>
        <v>204.95690917968753</v>
      </c>
      <c r="D128" s="1">
        <f>(MOD(teraterm[[#This Row],[Column2]],4096)-Q$4)*$S$3*1000</f>
        <v>-37.027994791666664</v>
      </c>
      <c r="E128" s="1">
        <f>IF(ABS(VALUE(teraterm[[#This Row],[Column1]]))&lt;4095,VALUE(teraterm[[#This Row],[Column1]]),0)</f>
        <v>1831</v>
      </c>
      <c r="F128" s="1">
        <f>teraterm[[#This Row],[V(V)]]^2</f>
        <v>42007.334620490685</v>
      </c>
    </row>
    <row r="129" spans="1:6" x14ac:dyDescent="0.25">
      <c r="A129" s="1" t="s">
        <v>146</v>
      </c>
      <c r="B129" s="2">
        <v>243</v>
      </c>
      <c r="C129" s="1">
        <f>(teraterm[[#This Row],[Value(V)]]+$K$2)*$S$2</f>
        <v>177.20581054687503</v>
      </c>
      <c r="D129" s="1">
        <f>(MOD(teraterm[[#This Row],[Column2]],4096)-Q$4)*$S$3*1000</f>
        <v>-47.607421874999993</v>
      </c>
      <c r="E129" s="1">
        <f>IF(ABS(VALUE(teraterm[[#This Row],[Column1]]))&lt;4095,VALUE(teraterm[[#This Row],[Column1]]),0)</f>
        <v>1582</v>
      </c>
      <c r="F129" s="1">
        <f>teraterm[[#This Row],[V(V)]]^2</f>
        <v>31401.899291574966</v>
      </c>
    </row>
    <row r="130" spans="1:6" x14ac:dyDescent="0.25">
      <c r="A130" s="1" t="s">
        <v>23</v>
      </c>
      <c r="B130" s="2">
        <v>191</v>
      </c>
      <c r="C130" s="1">
        <f>(teraterm[[#This Row],[Value(V)]]+$K$2)*$S$2</f>
        <v>148.89746093750003</v>
      </c>
      <c r="D130" s="1">
        <f>(MOD(teraterm[[#This Row],[Column2]],4096)-Q$4)*$S$3*1000</f>
        <v>-68.766276041666657</v>
      </c>
      <c r="E130" s="1">
        <f>IF(ABS(VALUE(teraterm[[#This Row],[Column1]]))&lt;4095,VALUE(teraterm[[#This Row],[Column1]]),0)</f>
        <v>1328</v>
      </c>
      <c r="F130" s="1">
        <f>teraterm[[#This Row],[V(V)]]^2</f>
        <v>22170.453873634346</v>
      </c>
    </row>
    <row r="131" spans="1:6" x14ac:dyDescent="0.25">
      <c r="A131" s="1" t="s">
        <v>147</v>
      </c>
      <c r="B131" s="2">
        <v>130</v>
      </c>
      <c r="C131" s="1">
        <f>(teraterm[[#This Row],[Value(V)]]+$K$2)*$S$2</f>
        <v>122.48376464843751</v>
      </c>
      <c r="D131" s="1">
        <f>(MOD(teraterm[[#This Row],[Column2]],4096)-Q$4)*$S$3*1000</f>
        <v>-93.587239583333329</v>
      </c>
      <c r="E131" s="1">
        <f>IF(ABS(VALUE(teraterm[[#This Row],[Column1]]))&lt;4095,VALUE(teraterm[[#This Row],[Column1]]),0)</f>
        <v>1091</v>
      </c>
      <c r="F131" s="1">
        <f>teraterm[[#This Row],[V(V)]]^2</f>
        <v>15002.272602453831</v>
      </c>
    </row>
    <row r="132" spans="1:6" x14ac:dyDescent="0.25">
      <c r="A132" s="1" t="s">
        <v>148</v>
      </c>
      <c r="B132" s="2">
        <v>72</v>
      </c>
      <c r="C132" s="1">
        <f>(teraterm[[#This Row],[Value(V)]]+$K$2)*$S$2</f>
        <v>98.633422851562514</v>
      </c>
      <c r="D132" s="1">
        <f>(MOD(teraterm[[#This Row],[Column2]],4096)-Q$4)*$S$3*1000</f>
        <v>-117.18749999999999</v>
      </c>
      <c r="E132" s="1">
        <f>IF(ABS(VALUE(teraterm[[#This Row],[Column1]]))&lt;4095,VALUE(teraterm[[#This Row],[Column1]]),0)</f>
        <v>877</v>
      </c>
      <c r="F132" s="1">
        <f>teraterm[[#This Row],[V(V)]]^2</f>
        <v>9728.5521034151352</v>
      </c>
    </row>
    <row r="133" spans="1:6" x14ac:dyDescent="0.25">
      <c r="A133" s="1" t="s">
        <v>149</v>
      </c>
      <c r="B133" s="2">
        <v>8</v>
      </c>
      <c r="C133" s="1">
        <f>(teraterm[[#This Row],[Value(V)]]+$K$2)*$S$2</f>
        <v>75.451782226562514</v>
      </c>
      <c r="D133" s="1">
        <f>(MOD(teraterm[[#This Row],[Column2]],4096)-Q$4)*$S$3*1000</f>
        <v>-143.22916666666666</v>
      </c>
      <c r="E133" s="1">
        <f>IF(ABS(VALUE(teraterm[[#This Row],[Column1]]))&lt;4095,VALUE(teraterm[[#This Row],[Column1]]),0)</f>
        <v>669</v>
      </c>
      <c r="F133" s="1">
        <f>teraterm[[#This Row],[V(V)]]^2</f>
        <v>5692.9714411646146</v>
      </c>
    </row>
    <row r="134" spans="1:6" x14ac:dyDescent="0.25">
      <c r="A134" s="1" t="s">
        <v>150</v>
      </c>
      <c r="B134" s="2">
        <v>4066</v>
      </c>
      <c r="C134" s="1">
        <f>(teraterm[[#This Row],[Value(V)]]+$K$2)*$S$2</f>
        <v>56.059448242187507</v>
      </c>
      <c r="D134" s="1">
        <f>(MOD(teraterm[[#This Row],[Column2]],4096)-Q$4)*$S$3*1000</f>
        <v>1507.9752604166665</v>
      </c>
      <c r="E134" s="1">
        <f>IF(ABS(VALUE(teraterm[[#This Row],[Column1]]))&lt;4095,VALUE(teraterm[[#This Row],[Column1]]),0)</f>
        <v>495</v>
      </c>
      <c r="F134" s="1">
        <f>teraterm[[#This Row],[V(V)]]^2</f>
        <v>3142.6617372185001</v>
      </c>
    </row>
    <row r="135" spans="1:6" x14ac:dyDescent="0.25">
      <c r="A135" s="1" t="s">
        <v>151</v>
      </c>
      <c r="B135" s="2">
        <v>4007</v>
      </c>
      <c r="C135" s="1">
        <f>(teraterm[[#This Row],[Value(V)]]+$K$2)*$S$2</f>
        <v>41.793823242187507</v>
      </c>
      <c r="D135" s="1">
        <f>(MOD(teraterm[[#This Row],[Column2]],4096)-Q$4)*$S$3*1000</f>
        <v>1483.9680989583333</v>
      </c>
      <c r="E135" s="1">
        <f>IF(ABS(VALUE(teraterm[[#This Row],[Column1]]))&lt;4095,VALUE(teraterm[[#This Row],[Column1]]),0)</f>
        <v>367</v>
      </c>
      <c r="F135" s="1">
        <f>teraterm[[#This Row],[V(V)]]^2</f>
        <v>1746.7236611992128</v>
      </c>
    </row>
    <row r="136" spans="1:6" x14ac:dyDescent="0.25">
      <c r="A136" s="1" t="s">
        <v>152</v>
      </c>
      <c r="B136" s="2">
        <v>3982</v>
      </c>
      <c r="C136" s="1">
        <f>(teraterm[[#This Row],[Value(V)]]+$K$2)*$S$2</f>
        <v>32.543457031250007</v>
      </c>
      <c r="D136" s="1">
        <f>(MOD(teraterm[[#This Row],[Column2]],4096)-Q$4)*$S$3*1000</f>
        <v>1473.7955729166665</v>
      </c>
      <c r="E136" s="1">
        <f>IF(ABS(VALUE(teraterm[[#This Row],[Column1]]))&lt;4095,VALUE(teraterm[[#This Row],[Column1]]),0)</f>
        <v>284</v>
      </c>
      <c r="F136" s="1">
        <f>teraterm[[#This Row],[V(V)]]^2</f>
        <v>1059.0765955448155</v>
      </c>
    </row>
    <row r="137" spans="1:6" x14ac:dyDescent="0.25">
      <c r="A137" s="1" t="s">
        <v>153</v>
      </c>
      <c r="B137" s="2">
        <v>3991</v>
      </c>
      <c r="C137" s="1">
        <f>(teraterm[[#This Row],[Value(V)]]+$K$2)*$S$2</f>
        <v>29.534301757812504</v>
      </c>
      <c r="D137" s="1">
        <f>(MOD(teraterm[[#This Row],[Column2]],4096)-Q$4)*$S$3*1000</f>
        <v>1477.4576822916665</v>
      </c>
      <c r="E137" s="1">
        <f>IF(ABS(VALUE(teraterm[[#This Row],[Column1]]))&lt;4095,VALUE(teraterm[[#This Row],[Column1]]),0)</f>
        <v>257</v>
      </c>
      <c r="F137" s="1">
        <f>teraterm[[#This Row],[V(V)]]^2</f>
        <v>872.27498032152675</v>
      </c>
    </row>
    <row r="138" spans="1:6" x14ac:dyDescent="0.25">
      <c r="A138" s="1" t="s">
        <v>154</v>
      </c>
      <c r="B138" s="2">
        <v>3978</v>
      </c>
      <c r="C138" s="1">
        <f>(teraterm[[#This Row],[Value(V)]]+$K$2)*$S$2</f>
        <v>28.196899414062504</v>
      </c>
      <c r="D138" s="1">
        <f>(MOD(teraterm[[#This Row],[Column2]],4096)-Q$4)*$S$3*1000</f>
        <v>1472.1679687499998</v>
      </c>
      <c r="E138" s="1">
        <f>IF(ABS(VALUE(teraterm[[#This Row],[Column1]]))&lt;4095,VALUE(teraterm[[#This Row],[Column1]]),0)</f>
        <v>245</v>
      </c>
      <c r="F138" s="1">
        <f>teraterm[[#This Row],[V(V)]]^2</f>
        <v>795.06513656675838</v>
      </c>
    </row>
    <row r="139" spans="1:6" x14ac:dyDescent="0.25">
      <c r="A139" s="1" t="s">
        <v>155</v>
      </c>
      <c r="B139" s="2">
        <v>3982</v>
      </c>
      <c r="C139" s="1">
        <f>(teraterm[[#This Row],[Value(V)]]+$K$2)*$S$2</f>
        <v>27.751098632812504</v>
      </c>
      <c r="D139" s="1">
        <f>(MOD(teraterm[[#This Row],[Column2]],4096)-Q$4)*$S$3*1000</f>
        <v>1473.7955729166665</v>
      </c>
      <c r="E139" s="1">
        <f>IF(ABS(VALUE(teraterm[[#This Row],[Column1]]))&lt;4095,VALUE(teraterm[[#This Row],[Column1]]),0)</f>
        <v>241</v>
      </c>
      <c r="F139" s="1">
        <f>teraterm[[#This Row],[V(V)]]^2</f>
        <v>770.12347532808803</v>
      </c>
    </row>
    <row r="140" spans="1:6" x14ac:dyDescent="0.25">
      <c r="A140" s="1" t="s">
        <v>156</v>
      </c>
      <c r="B140" s="2">
        <v>3995</v>
      </c>
      <c r="C140" s="1">
        <f>(teraterm[[#This Row],[Value(V)]]+$K$2)*$S$2</f>
        <v>28.865600585937504</v>
      </c>
      <c r="D140" s="1">
        <f>(MOD(teraterm[[#This Row],[Column2]],4096)-Q$4)*$S$3*1000</f>
        <v>1479.0852864583333</v>
      </c>
      <c r="E140" s="1">
        <f>IF(ABS(VALUE(teraterm[[#This Row],[Column1]]))&lt;4095,VALUE(teraterm[[#This Row],[Column1]]),0)</f>
        <v>251</v>
      </c>
      <c r="F140" s="1">
        <f>teraterm[[#This Row],[V(V)]]^2</f>
        <v>833.22289718687557</v>
      </c>
    </row>
    <row r="141" spans="1:6" x14ac:dyDescent="0.25">
      <c r="A141" s="1" t="s">
        <v>157</v>
      </c>
      <c r="B141" s="2">
        <v>4023</v>
      </c>
      <c r="C141" s="1">
        <f>(teraterm[[#This Row],[Value(V)]]+$K$2)*$S$2</f>
        <v>36.109863281250007</v>
      </c>
      <c r="D141" s="1">
        <f>(MOD(teraterm[[#This Row],[Column2]],4096)-Q$4)*$S$3*1000</f>
        <v>1490.4785156249998</v>
      </c>
      <c r="E141" s="1">
        <f>IF(ABS(VALUE(teraterm[[#This Row],[Column1]]))&lt;4095,VALUE(teraterm[[#This Row],[Column1]]),0)</f>
        <v>316</v>
      </c>
      <c r="F141" s="1">
        <f>teraterm[[#This Row],[V(V)]]^2</f>
        <v>1303.9222261905675</v>
      </c>
    </row>
    <row r="142" spans="1:6" x14ac:dyDescent="0.25">
      <c r="A142" s="1" t="s">
        <v>158</v>
      </c>
      <c r="B142" s="2">
        <v>4089</v>
      </c>
      <c r="C142" s="1">
        <f>(teraterm[[#This Row],[Value(V)]]+$K$2)*$S$2</f>
        <v>54.499145507812507</v>
      </c>
      <c r="D142" s="1">
        <f>(MOD(teraterm[[#This Row],[Column2]],4096)-Q$4)*$S$3*1000</f>
        <v>1517.3339843749998</v>
      </c>
      <c r="E142" s="1">
        <f>IF(ABS(VALUE(teraterm[[#This Row],[Column1]]))&lt;4095,VALUE(teraterm[[#This Row],[Column1]]),0)</f>
        <v>481</v>
      </c>
      <c r="F142" s="1">
        <f>teraterm[[#This Row],[V(V)]]^2</f>
        <v>2970.1568610817203</v>
      </c>
    </row>
    <row r="143" spans="1:6" x14ac:dyDescent="0.25">
      <c r="A143" s="1" t="s">
        <v>159</v>
      </c>
      <c r="B143" s="2">
        <v>55</v>
      </c>
      <c r="C143" s="1">
        <f>(teraterm[[#This Row],[Value(V)]]+$K$2)*$S$2</f>
        <v>77.903686523437514</v>
      </c>
      <c r="D143" s="1">
        <f>(MOD(teraterm[[#This Row],[Column2]],4096)-Q$4)*$S$3*1000</f>
        <v>-124.10481770833333</v>
      </c>
      <c r="E143" s="1">
        <f>IF(ABS(VALUE(teraterm[[#This Row],[Column1]]))&lt;4095,VALUE(teraterm[[#This Row],[Column1]]),0)</f>
        <v>691</v>
      </c>
      <c r="F143" s="1">
        <f>teraterm[[#This Row],[V(V)]]^2</f>
        <v>6068.9843739420194</v>
      </c>
    </row>
    <row r="144" spans="1:6" x14ac:dyDescent="0.25">
      <c r="A144" s="1" t="s">
        <v>160</v>
      </c>
      <c r="B144" s="2">
        <v>91</v>
      </c>
      <c r="C144" s="1">
        <f>(teraterm[[#This Row],[Value(V)]]+$K$2)*$S$2</f>
        <v>100.30517578125001</v>
      </c>
      <c r="D144" s="1">
        <f>(MOD(teraterm[[#This Row],[Column2]],4096)-Q$4)*$S$3*1000</f>
        <v>-109.45638020833333</v>
      </c>
      <c r="E144" s="1">
        <f>IF(ABS(VALUE(teraterm[[#This Row],[Column1]]))&lt;4095,VALUE(teraterm[[#This Row],[Column1]]),0)</f>
        <v>892</v>
      </c>
      <c r="F144" s="1">
        <f>teraterm[[#This Row],[V(V)]]^2</f>
        <v>10061.128288507465</v>
      </c>
    </row>
    <row r="145" spans="1:6" x14ac:dyDescent="0.25">
      <c r="A145" s="1" t="s">
        <v>161</v>
      </c>
      <c r="B145" s="2">
        <v>149</v>
      </c>
      <c r="C145" s="1">
        <f>(teraterm[[#This Row],[Value(V)]]+$K$2)*$S$2</f>
        <v>124.60131835937501</v>
      </c>
      <c r="D145" s="1">
        <f>(MOD(teraterm[[#This Row],[Column2]],4096)-Q$4)*$S$3*1000</f>
        <v>-85.856119791666657</v>
      </c>
      <c r="E145" s="1">
        <f>IF(ABS(VALUE(teraterm[[#This Row],[Column1]]))&lt;4095,VALUE(teraterm[[#This Row],[Column1]]),0)</f>
        <v>1110</v>
      </c>
      <c r="F145" s="1">
        <f>teraterm[[#This Row],[V(V)]]^2</f>
        <v>15525.488536894325</v>
      </c>
    </row>
    <row r="146" spans="1:6" x14ac:dyDescent="0.25">
      <c r="A146" s="1" t="s">
        <v>162</v>
      </c>
      <c r="B146" s="2">
        <v>205</v>
      </c>
      <c r="C146" s="1">
        <f>(teraterm[[#This Row],[Value(V)]]+$K$2)*$S$2</f>
        <v>152.24096679687503</v>
      </c>
      <c r="D146" s="1">
        <f>(MOD(teraterm[[#This Row],[Column2]],4096)-Q$4)*$S$3*1000</f>
        <v>-63.069661458333329</v>
      </c>
      <c r="E146" s="1">
        <f>IF(ABS(VALUE(teraterm[[#This Row],[Column1]]))&lt;4095,VALUE(teraterm[[#This Row],[Column1]]),0)</f>
        <v>1358</v>
      </c>
      <c r="F146" s="1">
        <f>teraterm[[#This Row],[V(V)]]^2</f>
        <v>23177.311971247203</v>
      </c>
    </row>
    <row r="147" spans="1:6" x14ac:dyDescent="0.25">
      <c r="A147" s="1" t="s">
        <v>163</v>
      </c>
      <c r="B147" s="2">
        <v>246</v>
      </c>
      <c r="C147" s="1">
        <f>(teraterm[[#This Row],[Value(V)]]+$K$2)*$S$2</f>
        <v>179.65771484375003</v>
      </c>
      <c r="D147" s="1">
        <f>(MOD(teraterm[[#This Row],[Column2]],4096)-Q$4)*$S$3*1000</f>
        <v>-46.386718749999993</v>
      </c>
      <c r="E147" s="1">
        <f>IF(ABS(VALUE(teraterm[[#This Row],[Column1]]))&lt;4095,VALUE(teraterm[[#This Row],[Column1]]),0)</f>
        <v>1604</v>
      </c>
      <c r="F147" s="1">
        <f>teraterm[[#This Row],[V(V)]]^2</f>
        <v>32276.8945028782</v>
      </c>
    </row>
    <row r="148" spans="1:6" x14ac:dyDescent="0.25">
      <c r="A148" s="1" t="s">
        <v>164</v>
      </c>
      <c r="B148" s="2">
        <v>287</v>
      </c>
      <c r="C148" s="1">
        <f>(teraterm[[#This Row],[Value(V)]]+$K$2)*$S$2</f>
        <v>208.85766601562503</v>
      </c>
      <c r="D148" s="1">
        <f>(MOD(teraterm[[#This Row],[Column2]],4096)-Q$4)*$S$3*1000</f>
        <v>-29.703776041666664</v>
      </c>
      <c r="E148" s="1">
        <f>IF(ABS(VALUE(teraterm[[#This Row],[Column1]]))&lt;4095,VALUE(teraterm[[#This Row],[Column1]]),0)</f>
        <v>1866</v>
      </c>
      <c r="F148" s="1">
        <f>teraterm[[#This Row],[V(V)]]^2</f>
        <v>43621.524653494373</v>
      </c>
    </row>
    <row r="149" spans="1:6" x14ac:dyDescent="0.25">
      <c r="A149" s="1" t="s">
        <v>165</v>
      </c>
      <c r="B149" s="2">
        <v>316</v>
      </c>
      <c r="C149" s="1">
        <f>(teraterm[[#This Row],[Value(V)]]+$K$2)*$S$2</f>
        <v>240.28662109375003</v>
      </c>
      <c r="D149" s="1">
        <f>(MOD(teraterm[[#This Row],[Column2]],4096)-Q$4)*$S$3*1000</f>
        <v>-17.903645833333332</v>
      </c>
      <c r="E149" s="1">
        <f>IF(ABS(VALUE(teraterm[[#This Row],[Column1]]))&lt;4095,VALUE(teraterm[[#This Row],[Column1]]),0)</f>
        <v>2148</v>
      </c>
      <c r="F149" s="1">
        <f>teraterm[[#This Row],[V(V)]]^2</f>
        <v>57737.660276651397</v>
      </c>
    </row>
    <row r="150" spans="1:6" x14ac:dyDescent="0.25">
      <c r="A150" s="1" t="s">
        <v>166</v>
      </c>
      <c r="B150" s="2">
        <v>390</v>
      </c>
      <c r="C150" s="1">
        <f>(teraterm[[#This Row],[Value(V)]]+$K$2)*$S$2</f>
        <v>271.15832519531256</v>
      </c>
      <c r="D150" s="1">
        <f>(MOD(teraterm[[#This Row],[Column2]],4096)-Q$4)*$S$3*1000</f>
        <v>12.207031249999998</v>
      </c>
      <c r="E150" s="1">
        <f>IF(ABS(VALUE(teraterm[[#This Row],[Column1]]))&lt;4095,VALUE(teraterm[[#This Row],[Column1]]),0)</f>
        <v>2425</v>
      </c>
      <c r="F150" s="1">
        <f>teraterm[[#This Row],[V(V)]]^2</f>
        <v>73526.837322726875</v>
      </c>
    </row>
    <row r="151" spans="1:6" x14ac:dyDescent="0.25">
      <c r="A151" s="1" t="s">
        <v>167</v>
      </c>
      <c r="B151" s="2">
        <v>430</v>
      </c>
      <c r="C151" s="1">
        <f>(teraterm[[#This Row],[Value(V)]]+$K$2)*$S$2</f>
        <v>297.68347167968756</v>
      </c>
      <c r="D151" s="1">
        <f>(MOD(teraterm[[#This Row],[Column2]],4096)-Q$4)*$S$3*1000</f>
        <v>28.483072916666664</v>
      </c>
      <c r="E151" s="1">
        <f>IF(ABS(VALUE(teraterm[[#This Row],[Column1]]))&lt;4095,VALUE(teraterm[[#This Row],[Column1]]),0)</f>
        <v>2663</v>
      </c>
      <c r="F151" s="1">
        <f>teraterm[[#This Row],[V(V)]]^2</f>
        <v>88615.449311271339</v>
      </c>
    </row>
    <row r="152" spans="1:6" x14ac:dyDescent="0.25">
      <c r="A152" s="1" t="s">
        <v>168</v>
      </c>
      <c r="B152" s="2">
        <v>465</v>
      </c>
      <c r="C152" s="1">
        <f>(teraterm[[#This Row],[Value(V)]]+$K$2)*$S$2</f>
        <v>324.76586914062506</v>
      </c>
      <c r="D152" s="1">
        <f>(MOD(teraterm[[#This Row],[Column2]],4096)-Q$4)*$S$3*1000</f>
        <v>42.724609374999993</v>
      </c>
      <c r="E152" s="1">
        <f>IF(ABS(VALUE(teraterm[[#This Row],[Column1]]))&lt;4095,VALUE(teraterm[[#This Row],[Column1]]),0)</f>
        <v>2906</v>
      </c>
      <c r="F152" s="1">
        <f>teraterm[[#This Row],[V(V)]]^2</f>
        <v>105472.86975866561</v>
      </c>
    </row>
    <row r="153" spans="1:6" x14ac:dyDescent="0.25">
      <c r="A153" s="1" t="s">
        <v>140</v>
      </c>
      <c r="B153" s="2">
        <v>520</v>
      </c>
      <c r="C153" s="1">
        <f>(teraterm[[#This Row],[Value(V)]]+$K$2)*$S$2</f>
        <v>351.06811523437506</v>
      </c>
      <c r="D153" s="1">
        <f>(MOD(teraterm[[#This Row],[Column2]],4096)-Q$4)*$S$3*1000</f>
        <v>65.104166666666657</v>
      </c>
      <c r="E153" s="1">
        <f>IF(ABS(VALUE(teraterm[[#This Row],[Column1]]))&lt;4095,VALUE(teraterm[[#This Row],[Column1]]),0)</f>
        <v>3142</v>
      </c>
      <c r="F153" s="1">
        <f>teraterm[[#This Row],[V(V)]]^2</f>
        <v>123248.82153421645</v>
      </c>
    </row>
    <row r="154" spans="1:6" x14ac:dyDescent="0.25">
      <c r="A154" s="1" t="s">
        <v>169</v>
      </c>
      <c r="B154" s="2">
        <v>553</v>
      </c>
      <c r="C154" s="1">
        <f>(teraterm[[#This Row],[Value(V)]]+$K$2)*$S$2</f>
        <v>374.58410644531256</v>
      </c>
      <c r="D154" s="1">
        <f>(MOD(teraterm[[#This Row],[Column2]],4096)-Q$4)*$S$3*1000</f>
        <v>78.531901041666657</v>
      </c>
      <c r="E154" s="1">
        <f>IF(ABS(VALUE(teraterm[[#This Row],[Column1]]))&lt;4095,VALUE(teraterm[[#This Row],[Column1]]),0)</f>
        <v>3353</v>
      </c>
      <c r="F154" s="1">
        <f>teraterm[[#This Row],[V(V)]]^2</f>
        <v>140313.25280143323</v>
      </c>
    </row>
    <row r="155" spans="1:6" x14ac:dyDescent="0.25">
      <c r="A155" s="1" t="s">
        <v>170</v>
      </c>
      <c r="B155" s="2">
        <v>576</v>
      </c>
      <c r="C155" s="1">
        <f>(teraterm[[#This Row],[Value(V)]]+$K$2)*$S$2</f>
        <v>396.65124511718756</v>
      </c>
      <c r="D155" s="1">
        <f>(MOD(teraterm[[#This Row],[Column2]],4096)-Q$4)*$S$3*1000</f>
        <v>87.890624999999986</v>
      </c>
      <c r="E155" s="1">
        <f>IF(ABS(VALUE(teraterm[[#This Row],[Column1]]))&lt;4095,VALUE(teraterm[[#This Row],[Column1]]),0)</f>
        <v>3551</v>
      </c>
      <c r="F155" s="1">
        <f>teraterm[[#This Row],[V(V)]]^2</f>
        <v>157332.21025301522</v>
      </c>
    </row>
    <row r="156" spans="1:6" x14ac:dyDescent="0.25">
      <c r="A156" s="1" t="s">
        <v>171</v>
      </c>
      <c r="B156" s="2">
        <v>634</v>
      </c>
      <c r="C156" s="1">
        <f>(teraterm[[#This Row],[Value(V)]]+$K$2)*$S$2</f>
        <v>415.93212890625006</v>
      </c>
      <c r="D156" s="1">
        <f>(MOD(teraterm[[#This Row],[Column2]],4096)-Q$4)*$S$3*1000</f>
        <v>111.49088541666666</v>
      </c>
      <c r="E156" s="1">
        <f>IF(ABS(VALUE(teraterm[[#This Row],[Column1]]))&lt;4095,VALUE(teraterm[[#This Row],[Column1]]),0)</f>
        <v>3724</v>
      </c>
      <c r="F156" s="1">
        <f>teraterm[[#This Row],[V(V)]]^2</f>
        <v>172999.53585648543</v>
      </c>
    </row>
    <row r="157" spans="1:6" x14ac:dyDescent="0.25">
      <c r="A157" s="1" t="s">
        <v>172</v>
      </c>
      <c r="B157" s="2">
        <v>631</v>
      </c>
      <c r="C157" s="1">
        <f>(teraterm[[#This Row],[Value(V)]]+$K$2)*$S$2</f>
        <v>430.64355468750006</v>
      </c>
      <c r="D157" s="1">
        <f>(MOD(teraterm[[#This Row],[Column2]],4096)-Q$4)*$S$3*1000</f>
        <v>110.27018229166666</v>
      </c>
      <c r="E157" s="1">
        <f>IF(ABS(VALUE(teraterm[[#This Row],[Column1]]))&lt;4095,VALUE(teraterm[[#This Row],[Column1]]),0)</f>
        <v>3856</v>
      </c>
      <c r="F157" s="1">
        <f>teraterm[[#This Row],[V(V)]]^2</f>
        <v>185453.87119388586</v>
      </c>
    </row>
    <row r="158" spans="1:6" x14ac:dyDescent="0.25">
      <c r="A158" s="1" t="s">
        <v>52</v>
      </c>
      <c r="B158" s="2">
        <v>665</v>
      </c>
      <c r="C158" s="1">
        <f>(teraterm[[#This Row],[Value(V)]]+$K$2)*$S$2</f>
        <v>441.23132324218756</v>
      </c>
      <c r="D158" s="1">
        <f>(MOD(teraterm[[#This Row],[Column2]],4096)-Q$4)*$S$3*1000</f>
        <v>124.10481770833333</v>
      </c>
      <c r="E158" s="1">
        <f>IF(ABS(VALUE(teraterm[[#This Row],[Column1]]))&lt;4095,VALUE(teraterm[[#This Row],[Column1]]),0)</f>
        <v>3951</v>
      </c>
      <c r="F158" s="1">
        <f>teraterm[[#This Row],[V(V)]]^2</f>
        <v>194685.08061005181</v>
      </c>
    </row>
    <row r="159" spans="1:6" x14ac:dyDescent="0.25">
      <c r="A159" s="1" t="s">
        <v>173</v>
      </c>
      <c r="B159" s="2">
        <v>663</v>
      </c>
      <c r="C159" s="1">
        <f>(teraterm[[#This Row],[Value(V)]]+$K$2)*$S$2</f>
        <v>445.57788085937506</v>
      </c>
      <c r="D159" s="1">
        <f>(MOD(teraterm[[#This Row],[Column2]],4096)-Q$4)*$S$3*1000</f>
        <v>123.29101562499999</v>
      </c>
      <c r="E159" s="1">
        <f>IF(ABS(VALUE(teraterm[[#This Row],[Column1]]))&lt;4095,VALUE(teraterm[[#This Row],[Column1]]),0)</f>
        <v>3990</v>
      </c>
      <c r="F159" s="1">
        <f>teraterm[[#This Row],[V(V)]]^2</f>
        <v>198539.64791113144</v>
      </c>
    </row>
    <row r="160" spans="1:6" x14ac:dyDescent="0.25">
      <c r="A160" s="1" t="s">
        <v>174</v>
      </c>
      <c r="B160" s="2">
        <v>664</v>
      </c>
      <c r="C160" s="1">
        <f>(teraterm[[#This Row],[Value(V)]]+$K$2)*$S$2</f>
        <v>447.58398437500006</v>
      </c>
      <c r="D160" s="1">
        <f>(MOD(teraterm[[#This Row],[Column2]],4096)-Q$4)*$S$3*1000</f>
        <v>123.69791666666666</v>
      </c>
      <c r="E160" s="1">
        <f>IF(ABS(VALUE(teraterm[[#This Row],[Column1]]))&lt;4095,VALUE(teraterm[[#This Row],[Column1]]),0)</f>
        <v>4008</v>
      </c>
      <c r="F160" s="1">
        <f>teraterm[[#This Row],[V(V)]]^2</f>
        <v>200331.4230690003</v>
      </c>
    </row>
    <row r="161" spans="1:6" x14ac:dyDescent="0.25">
      <c r="A161" s="1" t="s">
        <v>175</v>
      </c>
      <c r="B161" s="2">
        <v>665</v>
      </c>
      <c r="C161" s="1">
        <f>(teraterm[[#This Row],[Value(V)]]+$K$2)*$S$2</f>
        <v>448.92138671875006</v>
      </c>
      <c r="D161" s="1">
        <f>(MOD(teraterm[[#This Row],[Column2]],4096)-Q$4)*$S$3*1000</f>
        <v>124.10481770833333</v>
      </c>
      <c r="E161" s="1">
        <f>IF(ABS(VALUE(teraterm[[#This Row],[Column1]]))&lt;4095,VALUE(teraterm[[#This Row],[Column1]]),0)</f>
        <v>4020</v>
      </c>
      <c r="F161" s="1">
        <f>teraterm[[#This Row],[V(V)]]^2</f>
        <v>201530.41145348555</v>
      </c>
    </row>
    <row r="162" spans="1:6" x14ac:dyDescent="0.25">
      <c r="A162" s="1" t="s">
        <v>176</v>
      </c>
      <c r="B162" s="2">
        <v>663</v>
      </c>
      <c r="C162" s="1">
        <f>(teraterm[[#This Row],[Value(V)]]+$K$2)*$S$2</f>
        <v>449.14428710937506</v>
      </c>
      <c r="D162" s="1">
        <f>(MOD(teraterm[[#This Row],[Column2]],4096)-Q$4)*$S$3*1000</f>
        <v>123.29101562499999</v>
      </c>
      <c r="E162" s="1">
        <f>IF(ABS(VALUE(teraterm[[#This Row],[Column1]]))&lt;4095,VALUE(teraterm[[#This Row],[Column1]]),0)</f>
        <v>4022</v>
      </c>
      <c r="F162" s="1">
        <f>teraterm[[#This Row],[V(V)]]^2</f>
        <v>201730.59064298874</v>
      </c>
    </row>
    <row r="163" spans="1:6" x14ac:dyDescent="0.25">
      <c r="A163" s="1" t="s">
        <v>177</v>
      </c>
      <c r="B163" s="2">
        <v>640</v>
      </c>
      <c r="C163" s="1">
        <f>(teraterm[[#This Row],[Value(V)]]+$K$2)*$S$2</f>
        <v>446.02368164062506</v>
      </c>
      <c r="D163" s="1">
        <f>(MOD(teraterm[[#This Row],[Column2]],4096)-Q$4)*$S$3*1000</f>
        <v>113.93229166666666</v>
      </c>
      <c r="E163" s="1">
        <f>IF(ABS(VALUE(teraterm[[#This Row],[Column1]]))&lt;4095,VALUE(teraterm[[#This Row],[Column1]]),0)</f>
        <v>3994</v>
      </c>
      <c r="F163" s="1">
        <f>teraterm[[#This Row],[V(V)]]^2</f>
        <v>198937.12458425766</v>
      </c>
    </row>
    <row r="164" spans="1:6" x14ac:dyDescent="0.25">
      <c r="A164" s="1" t="s">
        <v>178</v>
      </c>
      <c r="B164" s="2">
        <v>623</v>
      </c>
      <c r="C164" s="1">
        <f>(teraterm[[#This Row],[Value(V)]]+$K$2)*$S$2</f>
        <v>433.20690917968756</v>
      </c>
      <c r="D164" s="1">
        <f>(MOD(teraterm[[#This Row],[Column2]],4096)-Q$4)*$S$3*1000</f>
        <v>107.01497395833333</v>
      </c>
      <c r="E164" s="1">
        <f>IF(ABS(VALUE(teraterm[[#This Row],[Column1]]))&lt;4095,VALUE(teraterm[[#This Row],[Column1]]),0)</f>
        <v>3879</v>
      </c>
      <c r="F164" s="1">
        <f>teraterm[[#This Row],[V(V)]]^2</f>
        <v>187668.22616101807</v>
      </c>
    </row>
    <row r="165" spans="1:6" x14ac:dyDescent="0.25">
      <c r="A165" s="1" t="s">
        <v>179</v>
      </c>
      <c r="B165" s="2">
        <v>586</v>
      </c>
      <c r="C165" s="1">
        <f>(teraterm[[#This Row],[Value(V)]]+$K$2)*$S$2</f>
        <v>410.47106933593756</v>
      </c>
      <c r="D165" s="1">
        <f>(MOD(teraterm[[#This Row],[Column2]],4096)-Q$4)*$S$3*1000</f>
        <v>91.959635416666657</v>
      </c>
      <c r="E165" s="1">
        <f>IF(ABS(VALUE(teraterm[[#This Row],[Column1]]))&lt;4095,VALUE(teraterm[[#This Row],[Column1]]),0)</f>
        <v>3675</v>
      </c>
      <c r="F165" s="1">
        <f>teraterm[[#This Row],[V(V)]]^2</f>
        <v>168486.49876178807</v>
      </c>
    </row>
    <row r="166" spans="1:6" x14ac:dyDescent="0.25">
      <c r="A166" s="1" t="s">
        <v>180</v>
      </c>
      <c r="B166" s="2">
        <v>654</v>
      </c>
      <c r="C166" s="1">
        <f>(teraterm[[#This Row],[Value(V)]]+$K$2)*$S$2</f>
        <v>432.76110839843756</v>
      </c>
      <c r="D166" s="1">
        <f>(MOD(teraterm[[#This Row],[Column2]],4096)-Q$4)*$S$3*1000</f>
        <v>119.62890624999999</v>
      </c>
      <c r="E166" s="1">
        <f>IF(ABS(VALUE(teraterm[[#This Row],[Column1]]))&lt;4095,VALUE(teraterm[[#This Row],[Column1]]),0)</f>
        <v>3875</v>
      </c>
      <c r="F166" s="1">
        <f>teraterm[[#This Row],[V(V)]]^2</f>
        <v>187282.17694224423</v>
      </c>
    </row>
    <row r="167" spans="1:6" x14ac:dyDescent="0.25">
      <c r="A167" s="1" t="s">
        <v>181</v>
      </c>
      <c r="B167" s="2">
        <v>644</v>
      </c>
      <c r="C167" s="1">
        <f>(teraterm[[#This Row],[Value(V)]]+$K$2)*$S$2</f>
        <v>442.34582519531256</v>
      </c>
      <c r="D167" s="1">
        <f>(MOD(teraterm[[#This Row],[Column2]],4096)-Q$4)*$S$3*1000</f>
        <v>115.55989583333333</v>
      </c>
      <c r="E167" s="1">
        <f>IF(ABS(VALUE(teraterm[[#This Row],[Column1]]))&lt;4095,VALUE(teraterm[[#This Row],[Column1]]),0)</f>
        <v>3961</v>
      </c>
      <c r="F167" s="1">
        <f>teraterm[[#This Row],[V(V)]]^2</f>
        <v>195669.82906772202</v>
      </c>
    </row>
    <row r="168" spans="1:6" x14ac:dyDescent="0.25">
      <c r="A168" s="1" t="s">
        <v>57</v>
      </c>
      <c r="B168" s="2">
        <v>669</v>
      </c>
      <c r="C168" s="1">
        <f>(teraterm[[#This Row],[Value(V)]]+$K$2)*$S$2</f>
        <v>446.35803222656256</v>
      </c>
      <c r="D168" s="1">
        <f>(MOD(teraterm[[#This Row],[Column2]],4096)-Q$4)*$S$3*1000</f>
        <v>125.732421875</v>
      </c>
      <c r="E168" s="1">
        <f>IF(ABS(VALUE(teraterm[[#This Row],[Column1]]))&lt;4095,VALUE(teraterm[[#This Row],[Column1]]),0)</f>
        <v>3997</v>
      </c>
      <c r="F168" s="1">
        <f>teraterm[[#This Row],[V(V)]]^2</f>
        <v>199235.49293316907</v>
      </c>
    </row>
    <row r="169" spans="1:6" x14ac:dyDescent="0.25">
      <c r="A169" s="1" t="s">
        <v>182</v>
      </c>
      <c r="B169" s="2">
        <v>674</v>
      </c>
      <c r="C169" s="1">
        <f>(teraterm[[#This Row],[Value(V)]]+$K$2)*$S$2</f>
        <v>448.25268554687506</v>
      </c>
      <c r="D169" s="1">
        <f>(MOD(teraterm[[#This Row],[Column2]],4096)-Q$4)*$S$3*1000</f>
        <v>127.76692708333331</v>
      </c>
      <c r="E169" s="1">
        <f>IF(ABS(VALUE(teraterm[[#This Row],[Column1]]))&lt;4095,VALUE(teraterm[[#This Row],[Column1]]),0)</f>
        <v>4014</v>
      </c>
      <c r="F169" s="1">
        <f>teraterm[[#This Row],[V(V)]]^2</f>
        <v>200930.47009998566</v>
      </c>
    </row>
    <row r="170" spans="1:6" x14ac:dyDescent="0.25">
      <c r="A170" s="1" t="s">
        <v>96</v>
      </c>
      <c r="B170" s="2">
        <v>672</v>
      </c>
      <c r="C170" s="1">
        <f>(teraterm[[#This Row],[Value(V)]]+$K$2)*$S$2</f>
        <v>449.25573730468756</v>
      </c>
      <c r="D170" s="1">
        <f>(MOD(teraterm[[#This Row],[Column2]],4096)-Q$4)*$S$3*1000</f>
        <v>126.953125</v>
      </c>
      <c r="E170" s="1">
        <f>IF(ABS(VALUE(teraterm[[#This Row],[Column1]]))&lt;4095,VALUE(teraterm[[#This Row],[Column1]]),0)</f>
        <v>4023</v>
      </c>
      <c r="F170" s="1">
        <f>teraterm[[#This Row],[V(V)]]^2</f>
        <v>201830.71750117844</v>
      </c>
    </row>
    <row r="171" spans="1:6" x14ac:dyDescent="0.25">
      <c r="A171" s="1" t="s">
        <v>176</v>
      </c>
      <c r="B171" s="2">
        <v>652</v>
      </c>
      <c r="C171" s="1">
        <f>(teraterm[[#This Row],[Value(V)]]+$K$2)*$S$2</f>
        <v>449.14428710937506</v>
      </c>
      <c r="D171" s="1">
        <f>(MOD(teraterm[[#This Row],[Column2]],4096)-Q$4)*$S$3*1000</f>
        <v>118.81510416666666</v>
      </c>
      <c r="E171" s="1">
        <f>IF(ABS(VALUE(teraterm[[#This Row],[Column1]]))&lt;4095,VALUE(teraterm[[#This Row],[Column1]]),0)</f>
        <v>4022</v>
      </c>
      <c r="F171" s="1">
        <f>teraterm[[#This Row],[V(V)]]^2</f>
        <v>201730.59064298874</v>
      </c>
    </row>
    <row r="172" spans="1:6" x14ac:dyDescent="0.25">
      <c r="A172" s="1" t="s">
        <v>183</v>
      </c>
      <c r="B172" s="2">
        <v>648</v>
      </c>
      <c r="C172" s="1">
        <f>(teraterm[[#This Row],[Value(V)]]+$K$2)*$S$2</f>
        <v>445.24353027343756</v>
      </c>
      <c r="D172" s="1">
        <f>(MOD(teraterm[[#This Row],[Column2]],4096)-Q$4)*$S$3*1000</f>
        <v>117.18749999999999</v>
      </c>
      <c r="E172" s="1">
        <f>IF(ABS(VALUE(teraterm[[#This Row],[Column1]]))&lt;4095,VALUE(teraterm[[#This Row],[Column1]]),0)</f>
        <v>3987</v>
      </c>
      <c r="F172" s="1">
        <f>teraterm[[#This Row],[V(V)]]^2</f>
        <v>198241.80125035351</v>
      </c>
    </row>
    <row r="173" spans="1:6" x14ac:dyDescent="0.25">
      <c r="A173" s="1" t="s">
        <v>184</v>
      </c>
      <c r="B173" s="2">
        <v>617</v>
      </c>
      <c r="C173" s="1">
        <f>(teraterm[[#This Row],[Value(V)]]+$K$2)*$S$2</f>
        <v>430.75500488281256</v>
      </c>
      <c r="D173" s="1">
        <f>(MOD(teraterm[[#This Row],[Column2]],4096)-Q$4)*$S$3*1000</f>
        <v>104.57356770833333</v>
      </c>
      <c r="E173" s="1">
        <f>IF(ABS(VALUE(teraterm[[#This Row],[Column1]]))&lt;4095,VALUE(teraterm[[#This Row],[Column1]]),0)</f>
        <v>3857</v>
      </c>
      <c r="F173" s="1">
        <f>teraterm[[#This Row],[V(V)]]^2</f>
        <v>185549.87423159188</v>
      </c>
    </row>
    <row r="174" spans="1:6" x14ac:dyDescent="0.25">
      <c r="A174" s="1" t="s">
        <v>185</v>
      </c>
      <c r="B174" s="2">
        <v>579</v>
      </c>
      <c r="C174" s="1">
        <f>(teraterm[[#This Row],[Value(V)]]+$K$2)*$S$2</f>
        <v>408.24206542968756</v>
      </c>
      <c r="D174" s="1">
        <f>(MOD(teraterm[[#This Row],[Column2]],4096)-Q$4)*$S$3*1000</f>
        <v>89.111328124999986</v>
      </c>
      <c r="E174" s="1">
        <f>IF(ABS(VALUE(teraterm[[#This Row],[Column1]]))&lt;4095,VALUE(teraterm[[#This Row],[Column1]]),0)</f>
        <v>3655</v>
      </c>
      <c r="F174" s="1">
        <f>teraterm[[#This Row],[V(V)]]^2</f>
        <v>166661.58398629731</v>
      </c>
    </row>
    <row r="175" spans="1:6" x14ac:dyDescent="0.25">
      <c r="A175" s="1" t="s">
        <v>186</v>
      </c>
      <c r="B175" s="2">
        <v>541</v>
      </c>
      <c r="C175" s="1">
        <f>(teraterm[[#This Row],[Value(V)]]+$K$2)*$S$2</f>
        <v>387.17797851562506</v>
      </c>
      <c r="D175" s="1">
        <f>(MOD(teraterm[[#This Row],[Column2]],4096)-Q$4)*$S$3*1000</f>
        <v>73.649088541666657</v>
      </c>
      <c r="E175" s="1">
        <f>IF(ABS(VALUE(teraterm[[#This Row],[Column1]]))&lt;4095,VALUE(teraterm[[#This Row],[Column1]]),0)</f>
        <v>3466</v>
      </c>
      <c r="F175" s="1">
        <f>teraterm[[#This Row],[V(V)]]^2</f>
        <v>149906.78704744583</v>
      </c>
    </row>
    <row r="176" spans="1:6" x14ac:dyDescent="0.25">
      <c r="A176" s="1" t="s">
        <v>187</v>
      </c>
      <c r="B176" s="2">
        <v>524</v>
      </c>
      <c r="C176" s="1">
        <f>(teraterm[[#This Row],[Value(V)]]+$K$2)*$S$2</f>
        <v>364.99938964843756</v>
      </c>
      <c r="D176" s="1">
        <f>(MOD(teraterm[[#This Row],[Column2]],4096)-Q$4)*$S$3*1000</f>
        <v>66.731770833333329</v>
      </c>
      <c r="E176" s="1">
        <f>IF(ABS(VALUE(teraterm[[#This Row],[Column1]]))&lt;4095,VALUE(teraterm[[#This Row],[Column1]]),0)</f>
        <v>3267</v>
      </c>
      <c r="F176" s="1">
        <f>teraterm[[#This Row],[V(V)]]^2</f>
        <v>133224.55444373193</v>
      </c>
    </row>
    <row r="177" spans="1:6" x14ac:dyDescent="0.25">
      <c r="A177" s="1" t="s">
        <v>188</v>
      </c>
      <c r="B177" s="2">
        <v>467</v>
      </c>
      <c r="C177" s="1">
        <f>(teraterm[[#This Row],[Value(V)]]+$K$2)*$S$2</f>
        <v>338.58569335937506</v>
      </c>
      <c r="D177" s="1">
        <f>(MOD(teraterm[[#This Row],[Column2]],4096)-Q$4)*$S$3*1000</f>
        <v>43.538411458333329</v>
      </c>
      <c r="E177" s="1">
        <f>IF(ABS(VALUE(teraterm[[#This Row],[Column1]]))&lt;4095,VALUE(teraterm[[#This Row],[Column1]]),0)</f>
        <v>3030</v>
      </c>
      <c r="F177" s="1">
        <f>teraterm[[#This Row],[V(V)]]^2</f>
        <v>114640.27174764876</v>
      </c>
    </row>
    <row r="178" spans="1:6" x14ac:dyDescent="0.25">
      <c r="A178" s="1" t="s">
        <v>189</v>
      </c>
      <c r="B178" s="2">
        <v>427</v>
      </c>
      <c r="C178" s="1">
        <f>(teraterm[[#This Row],[Value(V)]]+$K$2)*$S$2</f>
        <v>311.72619628906256</v>
      </c>
      <c r="D178" s="1">
        <f>(MOD(teraterm[[#This Row],[Column2]],4096)-Q$4)*$S$3*1000</f>
        <v>27.262369791666664</v>
      </c>
      <c r="E178" s="1">
        <f>IF(ABS(VALUE(teraterm[[#This Row],[Column1]]))&lt;4095,VALUE(teraterm[[#This Row],[Column1]]),0)</f>
        <v>2789</v>
      </c>
      <c r="F178" s="1">
        <f>teraterm[[#This Row],[V(V)]]^2</f>
        <v>97173.221452847152</v>
      </c>
    </row>
    <row r="179" spans="1:6" x14ac:dyDescent="0.25">
      <c r="A179" s="1" t="s">
        <v>190</v>
      </c>
      <c r="B179" s="2">
        <v>382</v>
      </c>
      <c r="C179" s="1">
        <f>(teraterm[[#This Row],[Value(V)]]+$K$2)*$S$2</f>
        <v>283.52929687500006</v>
      </c>
      <c r="D179" s="1">
        <f>(MOD(teraterm[[#This Row],[Column2]],4096)-Q$4)*$S$3*1000</f>
        <v>8.9518229166666661</v>
      </c>
      <c r="E179" s="1">
        <f>IF(ABS(VALUE(teraterm[[#This Row],[Column1]]))&lt;4095,VALUE(teraterm[[#This Row],[Column1]]),0)</f>
        <v>2536</v>
      </c>
      <c r="F179" s="1">
        <f>teraterm[[#This Row],[V(V)]]^2</f>
        <v>80388.862186431914</v>
      </c>
    </row>
    <row r="180" spans="1:6" x14ac:dyDescent="0.25">
      <c r="A180" s="1" t="s">
        <v>191</v>
      </c>
      <c r="B180" s="2">
        <v>351</v>
      </c>
      <c r="C180" s="1">
        <f>(teraterm[[#This Row],[Value(V)]]+$K$2)*$S$2</f>
        <v>252.21179199218753</v>
      </c>
      <c r="D180" s="1">
        <f>(MOD(teraterm[[#This Row],[Column2]],4096)-Q$4)*$S$3*1000</f>
        <v>-3.6621093749999996</v>
      </c>
      <c r="E180" s="1">
        <f>IF(ABS(VALUE(teraterm[[#This Row],[Column1]]))&lt;4095,VALUE(teraterm[[#This Row],[Column1]]),0)</f>
        <v>2255</v>
      </c>
      <c r="F180" s="1">
        <f>teraterm[[#This Row],[V(V)]]^2</f>
        <v>63610.788019910469</v>
      </c>
    </row>
    <row r="181" spans="1:6" x14ac:dyDescent="0.25">
      <c r="A181" s="1" t="s">
        <v>192</v>
      </c>
      <c r="B181" s="2">
        <v>302</v>
      </c>
      <c r="C181" s="1">
        <f>(teraterm[[#This Row],[Value(V)]]+$K$2)*$S$2</f>
        <v>220.22558593750003</v>
      </c>
      <c r="D181" s="1">
        <f>(MOD(teraterm[[#This Row],[Column2]],4096)-Q$4)*$S$3*1000</f>
        <v>-23.600260416666664</v>
      </c>
      <c r="E181" s="1">
        <f>IF(ABS(VALUE(teraterm[[#This Row],[Column1]]))&lt;4095,VALUE(teraterm[[#This Row],[Column1]]),0)</f>
        <v>1968</v>
      </c>
      <c r="F181" s="1">
        <f>teraterm[[#This Row],[V(V)]]^2</f>
        <v>48499.308701515212</v>
      </c>
    </row>
    <row r="182" spans="1:6" x14ac:dyDescent="0.25">
      <c r="A182" s="1" t="s">
        <v>193</v>
      </c>
      <c r="B182" s="2">
        <v>253</v>
      </c>
      <c r="C182" s="1">
        <f>(teraterm[[#This Row],[Value(V)]]+$K$2)*$S$2</f>
        <v>192.02868652343753</v>
      </c>
      <c r="D182" s="1">
        <f>(MOD(teraterm[[#This Row],[Column2]],4096)-Q$4)*$S$3*1000</f>
        <v>-43.538411458333329</v>
      </c>
      <c r="E182" s="1">
        <f>IF(ABS(VALUE(teraterm[[#This Row],[Column1]]))&lt;4095,VALUE(teraterm[[#This Row],[Column1]]),0)</f>
        <v>1715</v>
      </c>
      <c r="F182" s="1">
        <f>teraterm[[#This Row],[V(V)]]^2</f>
        <v>36875.016447916641</v>
      </c>
    </row>
    <row r="183" spans="1:6" x14ac:dyDescent="0.25">
      <c r="A183" s="1" t="s">
        <v>194</v>
      </c>
      <c r="B183" s="2">
        <v>208</v>
      </c>
      <c r="C183" s="1">
        <f>(teraterm[[#This Row],[Value(V)]]+$K$2)*$S$2</f>
        <v>164.05468750000003</v>
      </c>
      <c r="D183" s="1">
        <f>(MOD(teraterm[[#This Row],[Column2]],4096)-Q$4)*$S$3*1000</f>
        <v>-61.848958333333329</v>
      </c>
      <c r="E183" s="1">
        <f>IF(ABS(VALUE(teraterm[[#This Row],[Column1]]))&lt;4095,VALUE(teraterm[[#This Row],[Column1]]),0)</f>
        <v>1464</v>
      </c>
      <c r="F183" s="1">
        <f>teraterm[[#This Row],[V(V)]]^2</f>
        <v>26913.940490722667</v>
      </c>
    </row>
    <row r="184" spans="1:6" x14ac:dyDescent="0.25">
      <c r="A184" s="1" t="s">
        <v>195</v>
      </c>
      <c r="B184" s="2">
        <v>153</v>
      </c>
      <c r="C184" s="1">
        <f>(teraterm[[#This Row],[Value(V)]]+$K$2)*$S$2</f>
        <v>136.52648925781253</v>
      </c>
      <c r="D184" s="1">
        <f>(MOD(teraterm[[#This Row],[Column2]],4096)-Q$4)*$S$3*1000</f>
        <v>-84.228515624999986</v>
      </c>
      <c r="E184" s="1">
        <f>IF(ABS(VALUE(teraterm[[#This Row],[Column1]]))&lt;4095,VALUE(teraterm[[#This Row],[Column1]]),0)</f>
        <v>1217</v>
      </c>
      <c r="F184" s="1">
        <f>teraterm[[#This Row],[V(V)]]^2</f>
        <v>18639.482269063599</v>
      </c>
    </row>
    <row r="185" spans="1:6" x14ac:dyDescent="0.25">
      <c r="A185" s="1" t="s">
        <v>196</v>
      </c>
      <c r="B185" s="2">
        <v>100</v>
      </c>
      <c r="C185" s="1">
        <f>(teraterm[[#This Row],[Value(V)]]+$K$2)*$S$2</f>
        <v>111.45019531250001</v>
      </c>
      <c r="D185" s="1">
        <f>(MOD(teraterm[[#This Row],[Column2]],4096)-Q$4)*$S$3*1000</f>
        <v>-105.79427083333333</v>
      </c>
      <c r="E185" s="1">
        <f>IF(ABS(VALUE(teraterm[[#This Row],[Column1]]))&lt;4095,VALUE(teraterm[[#This Row],[Column1]]),0)</f>
        <v>992</v>
      </c>
      <c r="F185" s="1">
        <f>teraterm[[#This Row],[V(V)]]^2</f>
        <v>12421.146035194401</v>
      </c>
    </row>
    <row r="186" spans="1:6" x14ac:dyDescent="0.25">
      <c r="A186" s="1" t="s">
        <v>197</v>
      </c>
      <c r="B186" s="2">
        <v>51</v>
      </c>
      <c r="C186" s="1">
        <f>(teraterm[[#This Row],[Value(V)]]+$K$2)*$S$2</f>
        <v>87.934204101562514</v>
      </c>
      <c r="D186" s="1">
        <f>(MOD(teraterm[[#This Row],[Column2]],4096)-Q$4)*$S$3*1000</f>
        <v>-125.732421875</v>
      </c>
      <c r="E186" s="1">
        <f>IF(ABS(VALUE(teraterm[[#This Row],[Column1]]))&lt;4095,VALUE(teraterm[[#This Row],[Column1]]),0)</f>
        <v>781</v>
      </c>
      <c r="F186" s="1">
        <f>teraterm[[#This Row],[V(V)]]^2</f>
        <v>7732.4242509752539</v>
      </c>
    </row>
    <row r="187" spans="1:6" x14ac:dyDescent="0.25">
      <c r="A187" s="1" t="s">
        <v>198</v>
      </c>
      <c r="B187" s="2">
        <v>4080</v>
      </c>
      <c r="C187" s="1">
        <f>(teraterm[[#This Row],[Value(V)]]+$K$2)*$S$2</f>
        <v>65.755615234375014</v>
      </c>
      <c r="D187" s="1">
        <f>(MOD(teraterm[[#This Row],[Column2]],4096)-Q$4)*$S$3*1000</f>
        <v>1513.6718749999998</v>
      </c>
      <c r="E187" s="1">
        <f>IF(ABS(VALUE(teraterm[[#This Row],[Column1]]))&lt;4095,VALUE(teraterm[[#This Row],[Column1]]),0)</f>
        <v>582</v>
      </c>
      <c r="F187" s="1">
        <f>teraterm[[#This Row],[V(V)]]^2</f>
        <v>4323.8009348511714</v>
      </c>
    </row>
    <row r="188" spans="1:6" x14ac:dyDescent="0.25">
      <c r="A188" s="1" t="s">
        <v>199</v>
      </c>
      <c r="B188" s="2">
        <v>4024</v>
      </c>
      <c r="C188" s="1">
        <f>(teraterm[[#This Row],[Value(V)]]+$K$2)*$S$2</f>
        <v>49.149536132812507</v>
      </c>
      <c r="D188" s="1">
        <f>(MOD(teraterm[[#This Row],[Column2]],4096)-Q$4)*$S$3*1000</f>
        <v>1490.8854166666665</v>
      </c>
      <c r="E188" s="1">
        <f>IF(ABS(VALUE(teraterm[[#This Row],[Column1]]))&lt;4095,VALUE(teraterm[[#This Row],[Column1]]),0)</f>
        <v>433</v>
      </c>
      <c r="F188" s="1">
        <f>teraterm[[#This Row],[V(V)]]^2</f>
        <v>2415.6769020706424</v>
      </c>
    </row>
    <row r="189" spans="1:6" x14ac:dyDescent="0.25">
      <c r="A189" s="1" t="s">
        <v>200</v>
      </c>
      <c r="B189" s="2">
        <v>4000</v>
      </c>
      <c r="C189" s="1">
        <f>(teraterm[[#This Row],[Value(V)]]+$K$2)*$S$2</f>
        <v>37.112915039062507</v>
      </c>
      <c r="D189" s="1">
        <f>(MOD(teraterm[[#This Row],[Column2]],4096)-Q$4)*$S$3*1000</f>
        <v>1481.1197916666665</v>
      </c>
      <c r="E189" s="1">
        <f>IF(ABS(VALUE(teraterm[[#This Row],[Column1]]))&lt;4095,VALUE(teraterm[[#This Row],[Column1]]),0)</f>
        <v>325</v>
      </c>
      <c r="F189" s="1">
        <f>teraterm[[#This Row],[V(V)]]^2</f>
        <v>1377.3684626966719</v>
      </c>
    </row>
    <row r="190" spans="1:6" x14ac:dyDescent="0.25">
      <c r="A190" s="1" t="s">
        <v>201</v>
      </c>
      <c r="B190" s="2">
        <v>3981</v>
      </c>
      <c r="C190" s="1">
        <f>(teraterm[[#This Row],[Value(V)]]+$K$2)*$S$2</f>
        <v>31.094604492187504</v>
      </c>
      <c r="D190" s="1">
        <f>(MOD(teraterm[[#This Row],[Column2]],4096)-Q$4)*$S$3*1000</f>
        <v>1473.3886718749998</v>
      </c>
      <c r="E190" s="1">
        <f>IF(ABS(VALUE(teraterm[[#This Row],[Column1]]))&lt;4095,VALUE(teraterm[[#This Row],[Column1]]),0)</f>
        <v>271</v>
      </c>
      <c r="F190" s="1">
        <f>teraterm[[#This Row],[V(V)]]^2</f>
        <v>966.87442852556728</v>
      </c>
    </row>
    <row r="191" spans="1:6" x14ac:dyDescent="0.25">
      <c r="A191" s="1" t="s">
        <v>76</v>
      </c>
      <c r="B191" s="2">
        <v>3989</v>
      </c>
      <c r="C191" s="1">
        <f>(teraterm[[#This Row],[Value(V)]]+$K$2)*$S$2</f>
        <v>29.199951171875004</v>
      </c>
      <c r="D191" s="1">
        <f>(MOD(teraterm[[#This Row],[Column2]],4096)-Q$4)*$S$3*1000</f>
        <v>1476.6438802083333</v>
      </c>
      <c r="E191" s="1">
        <f>IF(ABS(VALUE(teraterm[[#This Row],[Column1]]))&lt;4095,VALUE(teraterm[[#This Row],[Column1]]),0)</f>
        <v>254</v>
      </c>
      <c r="F191" s="1">
        <f>teraterm[[#This Row],[V(V)]]^2</f>
        <v>852.63714843988441</v>
      </c>
    </row>
    <row r="192" spans="1:6" x14ac:dyDescent="0.25">
      <c r="A192" s="1" t="s">
        <v>22</v>
      </c>
      <c r="B192" s="2">
        <v>3980</v>
      </c>
      <c r="C192" s="1">
        <f>(teraterm[[#This Row],[Value(V)]]+$K$2)*$S$2</f>
        <v>28.308349609375004</v>
      </c>
      <c r="D192" s="1">
        <f>(MOD(teraterm[[#This Row],[Column2]],4096)-Q$4)*$S$3*1000</f>
        <v>1472.9817708333333</v>
      </c>
      <c r="E192" s="1">
        <f>IF(ABS(VALUE(teraterm[[#This Row],[Column1]]))&lt;4095,VALUE(teraterm[[#This Row],[Column1]]),0)</f>
        <v>246</v>
      </c>
      <c r="F192" s="1">
        <f>teraterm[[#This Row],[V(V)]]^2</f>
        <v>801.36265760660194</v>
      </c>
    </row>
    <row r="193" spans="1:6" x14ac:dyDescent="0.25">
      <c r="A193" s="1" t="s">
        <v>28</v>
      </c>
      <c r="B193" s="2">
        <v>3979</v>
      </c>
      <c r="C193" s="1">
        <f>(teraterm[[#This Row],[Value(V)]]+$K$2)*$S$2</f>
        <v>28.531250000000004</v>
      </c>
      <c r="D193" s="1">
        <f>(MOD(teraterm[[#This Row],[Column2]],4096)-Q$4)*$S$3*1000</f>
        <v>1472.5748697916665</v>
      </c>
      <c r="E193" s="1">
        <f>IF(ABS(VALUE(teraterm[[#This Row],[Column1]]))&lt;4095,VALUE(teraterm[[#This Row],[Column1]]),0)</f>
        <v>248</v>
      </c>
      <c r="F193" s="1">
        <f>teraterm[[#This Row],[V(V)]]^2</f>
        <v>814.03222656250023</v>
      </c>
    </row>
    <row r="194" spans="1:6" x14ac:dyDescent="0.25">
      <c r="A194" s="1" t="s">
        <v>202</v>
      </c>
      <c r="B194" s="2">
        <v>3996</v>
      </c>
      <c r="C194" s="1">
        <f>(teraterm[[#This Row],[Value(V)]]+$K$2)*$S$2</f>
        <v>31.540405273437504</v>
      </c>
      <c r="D194" s="1">
        <f>(MOD(teraterm[[#This Row],[Column2]],4096)-Q$4)*$S$3*1000</f>
        <v>1479.4921874999998</v>
      </c>
      <c r="E194" s="1">
        <f>IF(ABS(VALUE(teraterm[[#This Row],[Column1]]))&lt;4095,VALUE(teraterm[[#This Row],[Column1]]),0)</f>
        <v>275</v>
      </c>
      <c r="F194" s="1">
        <f>teraterm[[#This Row],[V(V)]]^2</f>
        <v>994.79716481268429</v>
      </c>
    </row>
    <row r="195" spans="1:6" x14ac:dyDescent="0.25">
      <c r="A195" s="1" t="s">
        <v>203</v>
      </c>
      <c r="B195" s="2">
        <v>4041</v>
      </c>
      <c r="C195" s="1">
        <f>(teraterm[[#This Row],[Value(V)]]+$K$2)*$S$2</f>
        <v>43.354125976562507</v>
      </c>
      <c r="D195" s="1">
        <f>(MOD(teraterm[[#This Row],[Column2]],4096)-Q$4)*$S$3*1000</f>
        <v>1497.8027343749998</v>
      </c>
      <c r="E195" s="1">
        <f>IF(ABS(VALUE(teraterm[[#This Row],[Column1]]))&lt;4095,VALUE(teraterm[[#This Row],[Column1]]),0)</f>
        <v>381</v>
      </c>
      <c r="F195" s="1">
        <f>teraterm[[#This Row],[V(V)]]^2</f>
        <v>1879.580239191652</v>
      </c>
    </row>
    <row r="196" spans="1:6" x14ac:dyDescent="0.25">
      <c r="A196" s="1" t="s">
        <v>204</v>
      </c>
      <c r="B196" s="2">
        <v>10</v>
      </c>
      <c r="C196" s="1">
        <f>(teraterm[[#This Row],[Value(V)]]+$K$2)*$S$2</f>
        <v>66.312866210937514</v>
      </c>
      <c r="D196" s="1">
        <f>(MOD(teraterm[[#This Row],[Column2]],4096)-Q$4)*$S$3*1000</f>
        <v>-142.41536458333331</v>
      </c>
      <c r="E196" s="1">
        <f>IF(ABS(VALUE(teraterm[[#This Row],[Column1]]))&lt;4095,VALUE(teraterm[[#This Row],[Column1]]),0)</f>
        <v>587</v>
      </c>
      <c r="F196" s="1">
        <f>teraterm[[#This Row],[V(V)]]^2</f>
        <v>4397.3962251096982</v>
      </c>
    </row>
    <row r="197" spans="1:6" x14ac:dyDescent="0.25">
      <c r="A197" s="1" t="s">
        <v>205</v>
      </c>
      <c r="B197" s="2">
        <v>63</v>
      </c>
      <c r="C197" s="1">
        <f>(teraterm[[#This Row],[Value(V)]]+$K$2)*$S$2</f>
        <v>88.714355468750014</v>
      </c>
      <c r="D197" s="1">
        <f>(MOD(teraterm[[#This Row],[Column2]],4096)-Q$4)*$S$3*1000</f>
        <v>-120.84960937499999</v>
      </c>
      <c r="E197" s="1">
        <f>IF(ABS(VALUE(teraterm[[#This Row],[Column1]]))&lt;4095,VALUE(teraterm[[#This Row],[Column1]]),0)</f>
        <v>788</v>
      </c>
      <c r="F197" s="1">
        <f>teraterm[[#This Row],[V(V)]]^2</f>
        <v>7870.2368662357358</v>
      </c>
    </row>
    <row r="198" spans="1:6" x14ac:dyDescent="0.25">
      <c r="A198" s="1" t="s">
        <v>196</v>
      </c>
      <c r="B198" s="2">
        <v>126</v>
      </c>
      <c r="C198" s="1">
        <f>(teraterm[[#This Row],[Value(V)]]+$K$2)*$S$2</f>
        <v>111.45019531250001</v>
      </c>
      <c r="D198" s="1">
        <f>(MOD(teraterm[[#This Row],[Column2]],4096)-Q$4)*$S$3*1000</f>
        <v>-95.214843749999986</v>
      </c>
      <c r="E198" s="1">
        <f>IF(ABS(VALUE(teraterm[[#This Row],[Column1]]))&lt;4095,VALUE(teraterm[[#This Row],[Column1]]),0)</f>
        <v>992</v>
      </c>
      <c r="F198" s="1">
        <f>teraterm[[#This Row],[V(V)]]^2</f>
        <v>12421.146035194401</v>
      </c>
    </row>
    <row r="199" spans="1:6" x14ac:dyDescent="0.25">
      <c r="A199" s="1" t="s">
        <v>206</v>
      </c>
      <c r="B199" s="2">
        <v>167</v>
      </c>
      <c r="C199" s="1">
        <f>(teraterm[[#This Row],[Value(V)]]+$K$2)*$S$2</f>
        <v>137.97534179687503</v>
      </c>
      <c r="D199" s="1">
        <f>(MOD(teraterm[[#This Row],[Column2]],4096)-Q$4)*$S$3*1000</f>
        <v>-78.531901041666657</v>
      </c>
      <c r="E199" s="1">
        <f>IF(ABS(VALUE(teraterm[[#This Row],[Column1]]))&lt;4095,VALUE(teraterm[[#This Row],[Column1]]),0)</f>
        <v>1230</v>
      </c>
      <c r="F199" s="1">
        <f>teraterm[[#This Row],[V(V)]]^2</f>
        <v>19037.194943964489</v>
      </c>
    </row>
    <row r="200" spans="1:6" x14ac:dyDescent="0.25">
      <c r="A200" s="1" t="s">
        <v>207</v>
      </c>
      <c r="B200" s="2">
        <v>225</v>
      </c>
      <c r="C200" s="1">
        <f>(teraterm[[#This Row],[Value(V)]]+$K$2)*$S$2</f>
        <v>165.39208984375003</v>
      </c>
      <c r="D200" s="1">
        <f>(MOD(teraterm[[#This Row],[Column2]],4096)-Q$4)*$S$3*1000</f>
        <v>-54.931640624999993</v>
      </c>
      <c r="E200" s="1">
        <f>IF(ABS(VALUE(teraterm[[#This Row],[Column1]]))&lt;4095,VALUE(teraterm[[#This Row],[Column1]]),0)</f>
        <v>1476</v>
      </c>
      <c r="F200" s="1">
        <f>teraterm[[#This Row],[V(V)]]^2</f>
        <v>27354.543382883083</v>
      </c>
    </row>
    <row r="201" spans="1:6" x14ac:dyDescent="0.25">
      <c r="A201" s="1" t="s">
        <v>208</v>
      </c>
      <c r="B201" s="2">
        <v>266</v>
      </c>
      <c r="C201" s="1">
        <f>(teraterm[[#This Row],[Value(V)]]+$K$2)*$S$2</f>
        <v>193.36608886718753</v>
      </c>
      <c r="D201" s="1">
        <f>(MOD(teraterm[[#This Row],[Column2]],4096)-Q$4)*$S$3*1000</f>
        <v>-38.248697916666664</v>
      </c>
      <c r="E201" s="1">
        <f>IF(ABS(VALUE(teraterm[[#This Row],[Column1]]))&lt;4095,VALUE(teraterm[[#This Row],[Column1]]),0)</f>
        <v>1727</v>
      </c>
      <c r="F201" s="1">
        <f>teraterm[[#This Row],[V(V)]]^2</f>
        <v>37390.444323793068</v>
      </c>
    </row>
    <row r="202" spans="1:6" x14ac:dyDescent="0.25">
      <c r="A202" s="1" t="s">
        <v>209</v>
      </c>
      <c r="B202" s="2">
        <v>299</v>
      </c>
      <c r="C202" s="1">
        <f>(teraterm[[#This Row],[Value(V)]]+$K$2)*$S$2</f>
        <v>223.90344238281253</v>
      </c>
      <c r="D202" s="1">
        <f>(MOD(teraterm[[#This Row],[Column2]],4096)-Q$4)*$S$3*1000</f>
        <v>-24.820963541666664</v>
      </c>
      <c r="E202" s="1">
        <f>IF(ABS(VALUE(teraterm[[#This Row],[Column1]]))&lt;4095,VALUE(teraterm[[#This Row],[Column1]]),0)</f>
        <v>2001</v>
      </c>
      <c r="F202" s="1">
        <f>teraterm[[#This Row],[V(V)]]^2</f>
        <v>50132.751510873451</v>
      </c>
    </row>
    <row r="203" spans="1:6" x14ac:dyDescent="0.25">
      <c r="A203" s="1" t="s">
        <v>210</v>
      </c>
      <c r="B203" s="2">
        <v>355</v>
      </c>
      <c r="C203" s="1">
        <f>(teraterm[[#This Row],[Value(V)]]+$K$2)*$S$2</f>
        <v>254.99804687500003</v>
      </c>
      <c r="D203" s="1">
        <f>(MOD(teraterm[[#This Row],[Column2]],4096)-Q$4)*$S$3*1000</f>
        <v>-2.034505208333333</v>
      </c>
      <c r="E203" s="1">
        <f>IF(ABS(VALUE(teraterm[[#This Row],[Column1]]))&lt;4095,VALUE(teraterm[[#This Row],[Column1]]),0)</f>
        <v>2280</v>
      </c>
      <c r="F203" s="1">
        <f>teraterm[[#This Row],[V(V)]]^2</f>
        <v>65024.003910064712</v>
      </c>
    </row>
    <row r="204" spans="1:6" x14ac:dyDescent="0.25">
      <c r="A204" s="1" t="s">
        <v>211</v>
      </c>
      <c r="B204" s="2">
        <v>409</v>
      </c>
      <c r="C204" s="1">
        <f>(teraterm[[#This Row],[Value(V)]]+$K$2)*$S$2</f>
        <v>283.97509765625006</v>
      </c>
      <c r="D204" s="1">
        <f>(MOD(teraterm[[#This Row],[Column2]],4096)-Q$4)*$S$3*1000</f>
        <v>19.938151041666664</v>
      </c>
      <c r="E204" s="1">
        <f>IF(ABS(VALUE(teraterm[[#This Row],[Column1]]))&lt;4095,VALUE(teraterm[[#This Row],[Column1]]),0)</f>
        <v>2540</v>
      </c>
      <c r="F204" s="1">
        <f>teraterm[[#This Row],[V(V)]]^2</f>
        <v>80641.856088876753</v>
      </c>
    </row>
    <row r="205" spans="1:6" x14ac:dyDescent="0.25">
      <c r="A205" s="1" t="s">
        <v>212</v>
      </c>
      <c r="B205" s="2">
        <v>449</v>
      </c>
      <c r="C205" s="1">
        <f>(teraterm[[#This Row],[Value(V)]]+$K$2)*$S$2</f>
        <v>311.16894531250006</v>
      </c>
      <c r="D205" s="1">
        <f>(MOD(teraterm[[#This Row],[Column2]],4096)-Q$4)*$S$3*1000</f>
        <v>36.214192708333329</v>
      </c>
      <c r="E205" s="1">
        <f>IF(ABS(VALUE(teraterm[[#This Row],[Column1]]))&lt;4095,VALUE(teraterm[[#This Row],[Column1]]),0)</f>
        <v>2784</v>
      </c>
      <c r="F205" s="1">
        <f>teraterm[[#This Row],[V(V)]]^2</f>
        <v>96826.112526893645</v>
      </c>
    </row>
    <row r="206" spans="1:6" x14ac:dyDescent="0.25">
      <c r="A206" s="1" t="s">
        <v>213</v>
      </c>
      <c r="B206" s="2">
        <v>491</v>
      </c>
      <c r="C206" s="1">
        <f>(teraterm[[#This Row],[Value(V)]]+$K$2)*$S$2</f>
        <v>337.80554199218756</v>
      </c>
      <c r="D206" s="1">
        <f>(MOD(teraterm[[#This Row],[Column2]],4096)-Q$4)*$S$3*1000</f>
        <v>53.304036458333329</v>
      </c>
      <c r="E206" s="1">
        <f>IF(ABS(VALUE(teraterm[[#This Row],[Column1]]))&lt;4095,VALUE(teraterm[[#This Row],[Column1]]),0)</f>
        <v>3023</v>
      </c>
      <c r="F206" s="1">
        <f>teraterm[[#This Row],[V(V)]]^2</f>
        <v>114112.5842006356</v>
      </c>
    </row>
    <row r="207" spans="1:6" x14ac:dyDescent="0.25">
      <c r="A207" s="1" t="s">
        <v>214</v>
      </c>
      <c r="B207" s="2">
        <v>524</v>
      </c>
      <c r="C207" s="1">
        <f>(teraterm[[#This Row],[Value(V)]]+$K$2)*$S$2</f>
        <v>362.88183593750006</v>
      </c>
      <c r="D207" s="1">
        <f>(MOD(teraterm[[#This Row],[Column2]],4096)-Q$4)*$S$3*1000</f>
        <v>66.731770833333329</v>
      </c>
      <c r="E207" s="1">
        <f>IF(ABS(VALUE(teraterm[[#This Row],[Column1]]))&lt;4095,VALUE(teraterm[[#This Row],[Column1]]),0)</f>
        <v>3248</v>
      </c>
      <c r="F207" s="1">
        <f>teraterm[[#This Row],[V(V)]]^2</f>
        <v>131683.2268533707</v>
      </c>
    </row>
    <row r="208" spans="1:6" x14ac:dyDescent="0.25">
      <c r="A208" s="1" t="s">
        <v>215</v>
      </c>
      <c r="B208" s="2">
        <v>575</v>
      </c>
      <c r="C208" s="1">
        <f>(teraterm[[#This Row],[Value(V)]]+$K$2)*$S$2</f>
        <v>385.28332519531256</v>
      </c>
      <c r="D208" s="1">
        <f>(MOD(teraterm[[#This Row],[Column2]],4096)-Q$4)*$S$3*1000</f>
        <v>87.483723958333329</v>
      </c>
      <c r="E208" s="1">
        <f>IF(ABS(VALUE(teraterm[[#This Row],[Column1]]))&lt;4095,VALUE(teraterm[[#This Row],[Column1]]),0)</f>
        <v>3449</v>
      </c>
      <c r="F208" s="1">
        <f>teraterm[[#This Row],[V(V)]]^2</f>
        <v>148443.24067355698</v>
      </c>
    </row>
    <row r="209" spans="1:6" x14ac:dyDescent="0.25">
      <c r="A209" s="1" t="s">
        <v>216</v>
      </c>
      <c r="B209" s="2">
        <v>603</v>
      </c>
      <c r="C209" s="1">
        <f>(teraterm[[#This Row],[Value(V)]]+$K$2)*$S$2</f>
        <v>406.79321289062506</v>
      </c>
      <c r="D209" s="1">
        <f>(MOD(teraterm[[#This Row],[Column2]],4096)-Q$4)*$S$3*1000</f>
        <v>98.876953124999986</v>
      </c>
      <c r="E209" s="1">
        <f>IF(ABS(VALUE(teraterm[[#This Row],[Column1]]))&lt;4095,VALUE(teraterm[[#This Row],[Column1]]),0)</f>
        <v>3642</v>
      </c>
      <c r="F209" s="1">
        <f>teraterm[[#This Row],[V(V)]]^2</f>
        <v>165480.71805387741</v>
      </c>
    </row>
    <row r="210" spans="1:6" x14ac:dyDescent="0.25">
      <c r="A210" s="1" t="s">
        <v>217</v>
      </c>
      <c r="B210" s="2">
        <v>646</v>
      </c>
      <c r="C210" s="1">
        <f>(teraterm[[#This Row],[Value(V)]]+$K$2)*$S$2</f>
        <v>423.95654296875006</v>
      </c>
      <c r="D210" s="1">
        <f>(MOD(teraterm[[#This Row],[Column2]],4096)-Q$4)*$S$3*1000</f>
        <v>116.37369791666666</v>
      </c>
      <c r="E210" s="1">
        <f>IF(ABS(VALUE(teraterm[[#This Row],[Column1]]))&lt;4095,VALUE(teraterm[[#This Row],[Column1]]),0)</f>
        <v>3796</v>
      </c>
      <c r="F210" s="1">
        <f>teraterm[[#This Row],[V(V)]]^2</f>
        <v>179739.15032601362</v>
      </c>
    </row>
    <row r="211" spans="1:6" x14ac:dyDescent="0.25">
      <c r="A211" s="1" t="s">
        <v>218</v>
      </c>
      <c r="B211" s="2">
        <v>649</v>
      </c>
      <c r="C211" s="1">
        <f>(teraterm[[#This Row],[Value(V)]]+$K$2)*$S$2</f>
        <v>436.55041503906256</v>
      </c>
      <c r="D211" s="1">
        <f>(MOD(teraterm[[#This Row],[Column2]],4096)-Q$4)*$S$3*1000</f>
        <v>117.59440104166666</v>
      </c>
      <c r="E211" s="1">
        <f>IF(ABS(VALUE(teraterm[[#This Row],[Column1]]))&lt;4095,VALUE(teraterm[[#This Row],[Column1]]),0)</f>
        <v>3909</v>
      </c>
      <c r="F211" s="1">
        <f>teraterm[[#This Row],[V(V)]]^2</f>
        <v>190576.26487077778</v>
      </c>
    </row>
    <row r="212" spans="1:6" x14ac:dyDescent="0.25">
      <c r="A212" s="1" t="s">
        <v>219</v>
      </c>
      <c r="B212" s="2">
        <v>653</v>
      </c>
      <c r="C212" s="1">
        <f>(teraterm[[#This Row],[Value(V)]]+$K$2)*$S$2</f>
        <v>444.24047851562506</v>
      </c>
      <c r="D212" s="1">
        <f>(MOD(teraterm[[#This Row],[Column2]],4096)-Q$4)*$S$3*1000</f>
        <v>119.22200520833333</v>
      </c>
      <c r="E212" s="1">
        <f>IF(ABS(VALUE(teraterm[[#This Row],[Column1]]))&lt;4095,VALUE(teraterm[[#This Row],[Column1]]),0)</f>
        <v>3978</v>
      </c>
      <c r="F212" s="1">
        <f>teraterm[[#This Row],[V(V)]]^2</f>
        <v>197349.60275179154</v>
      </c>
    </row>
    <row r="213" spans="1:6" x14ac:dyDescent="0.25">
      <c r="A213" s="1" t="s">
        <v>220</v>
      </c>
      <c r="B213" s="2">
        <v>661</v>
      </c>
      <c r="C213" s="1">
        <f>(teraterm[[#This Row],[Value(V)]]+$K$2)*$S$2</f>
        <v>447.13818359375006</v>
      </c>
      <c r="D213" s="1">
        <f>(MOD(teraterm[[#This Row],[Column2]],4096)-Q$4)*$S$3*1000</f>
        <v>122.47721354166666</v>
      </c>
      <c r="E213" s="1">
        <f>IF(ABS(VALUE(teraterm[[#This Row],[Column1]]))&lt;4095,VALUE(teraterm[[#This Row],[Column1]]),0)</f>
        <v>4004</v>
      </c>
      <c r="F213" s="1">
        <f>teraterm[[#This Row],[V(V)]]^2</f>
        <v>199932.55522751814</v>
      </c>
    </row>
    <row r="214" spans="1:6" x14ac:dyDescent="0.25">
      <c r="A214" s="1" t="s">
        <v>221</v>
      </c>
      <c r="B214" s="2">
        <v>650</v>
      </c>
      <c r="C214" s="1">
        <f>(teraterm[[#This Row],[Value(V)]]+$K$2)*$S$2</f>
        <v>448.69848632812506</v>
      </c>
      <c r="D214" s="1">
        <f>(MOD(teraterm[[#This Row],[Column2]],4096)-Q$4)*$S$3*1000</f>
        <v>118.00130208333333</v>
      </c>
      <c r="E214" s="1">
        <f>IF(ABS(VALUE(teraterm[[#This Row],[Column1]]))&lt;4095,VALUE(teraterm[[#This Row],[Column1]]),0)</f>
        <v>4018</v>
      </c>
      <c r="F214" s="1">
        <f>teraterm[[#This Row],[V(V)]]^2</f>
        <v>201330.33163315064</v>
      </c>
    </row>
    <row r="215" spans="1:6" x14ac:dyDescent="0.25">
      <c r="A215" s="1" t="s">
        <v>29</v>
      </c>
      <c r="B215" s="2">
        <v>674</v>
      </c>
      <c r="C215" s="1">
        <f>(teraterm[[#This Row],[Value(V)]]+$K$2)*$S$2</f>
        <v>449.47863769531256</v>
      </c>
      <c r="D215" s="1">
        <f>(MOD(teraterm[[#This Row],[Column2]],4096)-Q$4)*$S$3*1000</f>
        <v>127.76692708333331</v>
      </c>
      <c r="E215" s="1">
        <f>IF(ABS(VALUE(teraterm[[#This Row],[Column1]]))&lt;4095,VALUE(teraterm[[#This Row],[Column1]]),0)</f>
        <v>4025</v>
      </c>
      <c r="F215" s="1">
        <f>teraterm[[#This Row],[V(V)]]^2</f>
        <v>202031.04574443406</v>
      </c>
    </row>
    <row r="216" spans="1:6" x14ac:dyDescent="0.25">
      <c r="A216" s="1" t="s">
        <v>222</v>
      </c>
      <c r="B216" s="2">
        <v>657</v>
      </c>
      <c r="C216" s="1">
        <f>(teraterm[[#This Row],[Value(V)]]+$K$2)*$S$2</f>
        <v>448.47558593750006</v>
      </c>
      <c r="D216" s="1">
        <f>(MOD(teraterm[[#This Row],[Column2]],4096)-Q$4)*$S$3*1000</f>
        <v>120.84960937499999</v>
      </c>
      <c r="E216" s="1">
        <f>IF(ABS(VALUE(teraterm[[#This Row],[Column1]]))&lt;4095,VALUE(teraterm[[#This Row],[Column1]]),0)</f>
        <v>4016</v>
      </c>
      <c r="F216" s="1">
        <f>teraterm[[#This Row],[V(V)]]^2</f>
        <v>201130.35118198401</v>
      </c>
    </row>
    <row r="217" spans="1:6" x14ac:dyDescent="0.25">
      <c r="A217" s="1" t="s">
        <v>52</v>
      </c>
      <c r="B217" s="2">
        <v>640</v>
      </c>
      <c r="C217" s="1">
        <f>(teraterm[[#This Row],[Value(V)]]+$K$2)*$S$2</f>
        <v>441.23132324218756</v>
      </c>
      <c r="D217" s="1">
        <f>(MOD(teraterm[[#This Row],[Column2]],4096)-Q$4)*$S$3*1000</f>
        <v>113.93229166666666</v>
      </c>
      <c r="E217" s="1">
        <f>IF(ABS(VALUE(teraterm[[#This Row],[Column1]]))&lt;4095,VALUE(teraterm[[#This Row],[Column1]]),0)</f>
        <v>3951</v>
      </c>
      <c r="F217" s="1">
        <f>teraterm[[#This Row],[V(V)]]^2</f>
        <v>194685.08061005181</v>
      </c>
    </row>
    <row r="218" spans="1:6" x14ac:dyDescent="0.25">
      <c r="A218" s="1" t="s">
        <v>223</v>
      </c>
      <c r="B218" s="2">
        <v>603</v>
      </c>
      <c r="C218" s="1">
        <f>(teraterm[[#This Row],[Value(V)]]+$K$2)*$S$2</f>
        <v>422.84204101562506</v>
      </c>
      <c r="D218" s="1">
        <f>(MOD(teraterm[[#This Row],[Column2]],4096)-Q$4)*$S$3*1000</f>
        <v>98.876953124999986</v>
      </c>
      <c r="E218" s="1">
        <f>IF(ABS(VALUE(teraterm[[#This Row],[Column1]]))&lt;4095,VALUE(teraterm[[#This Row],[Column1]]),0)</f>
        <v>3786</v>
      </c>
      <c r="F218" s="1">
        <f>teraterm[[#This Row],[V(V)]]^2</f>
        <v>178795.39165025955</v>
      </c>
    </row>
    <row r="219" spans="1:6" x14ac:dyDescent="0.25">
      <c r="A219" s="1" t="s">
        <v>224</v>
      </c>
      <c r="B219" s="2">
        <v>575</v>
      </c>
      <c r="C219" s="1">
        <f>(teraterm[[#This Row],[Value(V)]]+$K$2)*$S$2</f>
        <v>400.99780273437506</v>
      </c>
      <c r="D219" s="1">
        <f>(MOD(teraterm[[#This Row],[Column2]],4096)-Q$4)*$S$3*1000</f>
        <v>87.483723958333329</v>
      </c>
      <c r="E219" s="1">
        <f>IF(ABS(VALUE(teraterm[[#This Row],[Column1]]))&lt;4095,VALUE(teraterm[[#This Row],[Column1]]),0)</f>
        <v>3590</v>
      </c>
      <c r="F219" s="1">
        <f>teraterm[[#This Row],[V(V)]]^2</f>
        <v>160799.23779779678</v>
      </c>
    </row>
    <row r="220" spans="1:6" x14ac:dyDescent="0.25">
      <c r="A220" s="1" t="s">
        <v>225</v>
      </c>
      <c r="B220" s="2">
        <v>545</v>
      </c>
      <c r="C220" s="1">
        <f>(teraterm[[#This Row],[Value(V)]]+$K$2)*$S$2</f>
        <v>379.82226562500006</v>
      </c>
      <c r="D220" s="1">
        <f>(MOD(teraterm[[#This Row],[Column2]],4096)-Q$4)*$S$3*1000</f>
        <v>75.276692708333329</v>
      </c>
      <c r="E220" s="1">
        <f>IF(ABS(VALUE(teraterm[[#This Row],[Column1]]))&lt;4095,VALUE(teraterm[[#This Row],[Column1]]),0)</f>
        <v>3400</v>
      </c>
      <c r="F220" s="1">
        <f>teraterm[[#This Row],[V(V)]]^2</f>
        <v>144264.95346450809</v>
      </c>
    </row>
    <row r="221" spans="1:6" x14ac:dyDescent="0.25">
      <c r="A221" s="1" t="s">
        <v>226</v>
      </c>
      <c r="B221" s="2">
        <v>493</v>
      </c>
      <c r="C221" s="1">
        <f>(teraterm[[#This Row],[Value(V)]]+$K$2)*$S$2</f>
        <v>355.97192382812506</v>
      </c>
      <c r="D221" s="1">
        <f>(MOD(teraterm[[#This Row],[Column2]],4096)-Q$4)*$S$3*1000</f>
        <v>54.117838541666664</v>
      </c>
      <c r="E221" s="1">
        <f>IF(ABS(VALUE(teraterm[[#This Row],[Column1]]))&lt;4095,VALUE(teraterm[[#This Row],[Column1]]),0)</f>
        <v>3186</v>
      </c>
      <c r="F221" s="1">
        <f>teraterm[[#This Row],[V(V)]]^2</f>
        <v>126716.01055389647</v>
      </c>
    </row>
    <row r="222" spans="1:6" x14ac:dyDescent="0.25">
      <c r="A222" s="1" t="s">
        <v>227</v>
      </c>
      <c r="B222" s="2">
        <v>458</v>
      </c>
      <c r="C222" s="1">
        <f>(teraterm[[#This Row],[Value(V)]]+$K$2)*$S$2</f>
        <v>328.88952636718756</v>
      </c>
      <c r="D222" s="1">
        <f>(MOD(teraterm[[#This Row],[Column2]],4096)-Q$4)*$S$3*1000</f>
        <v>39.876302083333329</v>
      </c>
      <c r="E222" s="1">
        <f>IF(ABS(VALUE(teraterm[[#This Row],[Column1]]))&lt;4095,VALUE(teraterm[[#This Row],[Column1]]),0)</f>
        <v>2943</v>
      </c>
      <c r="F222" s="1">
        <f>teraterm[[#This Row],[V(V)]]^2</f>
        <v>108168.32055403297</v>
      </c>
    </row>
    <row r="223" spans="1:6" x14ac:dyDescent="0.25">
      <c r="A223" s="1" t="s">
        <v>228</v>
      </c>
      <c r="B223" s="2">
        <v>416</v>
      </c>
      <c r="C223" s="1">
        <f>(teraterm[[#This Row],[Value(V)]]+$K$2)*$S$2</f>
        <v>302.14147949218756</v>
      </c>
      <c r="D223" s="1">
        <f>(MOD(teraterm[[#This Row],[Column2]],4096)-Q$4)*$S$3*1000</f>
        <v>22.786458333333332</v>
      </c>
      <c r="E223" s="1">
        <f>IF(ABS(VALUE(teraterm[[#This Row],[Column1]]))&lt;4095,VALUE(teraterm[[#This Row],[Column1]]),0)</f>
        <v>2703</v>
      </c>
      <c r="F223" s="1">
        <f>teraterm[[#This Row],[V(V)]]^2</f>
        <v>91289.473629727989</v>
      </c>
    </row>
    <row r="224" spans="1:6" x14ac:dyDescent="0.25">
      <c r="A224" s="1" t="s">
        <v>229</v>
      </c>
      <c r="B224" s="2">
        <v>374</v>
      </c>
      <c r="C224" s="1">
        <f>(teraterm[[#This Row],[Value(V)]]+$K$2)*$S$2</f>
        <v>272.94152832031256</v>
      </c>
      <c r="D224" s="1">
        <f>(MOD(teraterm[[#This Row],[Column2]],4096)-Q$4)*$S$3*1000</f>
        <v>5.696614583333333</v>
      </c>
      <c r="E224" s="1">
        <f>IF(ABS(VALUE(teraterm[[#This Row],[Column1]]))&lt;4095,VALUE(teraterm[[#This Row],[Column1]]),0)</f>
        <v>2441</v>
      </c>
      <c r="F224" s="1">
        <f>teraterm[[#This Row],[V(V)]]^2</f>
        <v>74497.07788182798</v>
      </c>
    </row>
    <row r="225" spans="1:6" x14ac:dyDescent="0.25">
      <c r="A225" s="1" t="s">
        <v>230</v>
      </c>
      <c r="B225" s="2">
        <v>339</v>
      </c>
      <c r="C225" s="1">
        <f>(teraterm[[#This Row],[Value(V)]]+$K$2)*$S$2</f>
        <v>240.95532226562503</v>
      </c>
      <c r="D225" s="1">
        <f>(MOD(teraterm[[#This Row],[Column2]],4096)-Q$4)*$S$3*1000</f>
        <v>-8.544921875</v>
      </c>
      <c r="E225" s="1">
        <f>IF(ABS(VALUE(teraterm[[#This Row],[Column1]]))&lt;4095,VALUE(teraterm[[#This Row],[Column1]]),0)</f>
        <v>2154</v>
      </c>
      <c r="F225" s="1">
        <f>teraterm[[#This Row],[V(V)]]^2</f>
        <v>58059.467328131213</v>
      </c>
    </row>
    <row r="226" spans="1:6" x14ac:dyDescent="0.25">
      <c r="A226" s="1" t="s">
        <v>231</v>
      </c>
      <c r="B226" s="2">
        <v>283</v>
      </c>
      <c r="C226" s="1">
        <f>(teraterm[[#This Row],[Value(V)]]+$K$2)*$S$2</f>
        <v>210.08361816406253</v>
      </c>
      <c r="D226" s="1">
        <f>(MOD(teraterm[[#This Row],[Column2]],4096)-Q$4)*$S$3*1000</f>
        <v>-31.331380208333329</v>
      </c>
      <c r="E226" s="1">
        <f>IF(ABS(VALUE(teraterm[[#This Row],[Column1]]))&lt;4095,VALUE(teraterm[[#This Row],[Column1]]),0)</f>
        <v>1877</v>
      </c>
      <c r="F226" s="1">
        <f>teraterm[[#This Row],[V(V)]]^2</f>
        <v>44135.126620903626</v>
      </c>
    </row>
    <row r="227" spans="1:6" x14ac:dyDescent="0.25">
      <c r="A227" s="1" t="s">
        <v>232</v>
      </c>
      <c r="B227" s="2">
        <v>250</v>
      </c>
      <c r="C227" s="1">
        <f>(teraterm[[#This Row],[Value(V)]]+$K$2)*$S$2</f>
        <v>182.33251953125003</v>
      </c>
      <c r="D227" s="1">
        <f>(MOD(teraterm[[#This Row],[Column2]],4096)-Q$4)*$S$3*1000</f>
        <v>-44.759114583333329</v>
      </c>
      <c r="E227" s="1">
        <f>IF(ABS(VALUE(teraterm[[#This Row],[Column1]]))&lt;4095,VALUE(teraterm[[#This Row],[Column1]]),0)</f>
        <v>1628</v>
      </c>
      <c r="F227" s="1">
        <f>teraterm[[#This Row],[V(V)]]^2</f>
        <v>33245.14767861367</v>
      </c>
    </row>
    <row r="228" spans="1:6" x14ac:dyDescent="0.25">
      <c r="A228" s="1" t="s">
        <v>233</v>
      </c>
      <c r="B228" s="2">
        <v>204</v>
      </c>
      <c r="C228" s="1">
        <f>(teraterm[[#This Row],[Value(V)]]+$K$2)*$S$2</f>
        <v>154.24707031250003</v>
      </c>
      <c r="D228" s="1">
        <f>(MOD(teraterm[[#This Row],[Column2]],4096)-Q$4)*$S$3*1000</f>
        <v>-63.4765625</v>
      </c>
      <c r="E228" s="1">
        <f>IF(ABS(VALUE(teraterm[[#This Row],[Column1]]))&lt;4095,VALUE(teraterm[[#This Row],[Column1]]),0)</f>
        <v>1376</v>
      </c>
      <c r="F228" s="1">
        <f>teraterm[[#This Row],[V(V)]]^2</f>
        <v>23792.158699989326</v>
      </c>
    </row>
    <row r="229" spans="1:6" x14ac:dyDescent="0.25">
      <c r="A229" s="1" t="s">
        <v>234</v>
      </c>
      <c r="B229" s="2">
        <v>133</v>
      </c>
      <c r="C229" s="1">
        <f>(teraterm[[#This Row],[Value(V)]]+$K$2)*$S$2</f>
        <v>127.27612304687501</v>
      </c>
      <c r="D229" s="1">
        <f>(MOD(teraterm[[#This Row],[Column2]],4096)-Q$4)*$S$3*1000</f>
        <v>-92.366536458333329</v>
      </c>
      <c r="E229" s="1">
        <f>IF(ABS(VALUE(teraterm[[#This Row],[Column1]]))&lt;4095,VALUE(teraterm[[#This Row],[Column1]]),0)</f>
        <v>1134</v>
      </c>
      <c r="F229" s="1">
        <f>teraterm[[#This Row],[V(V)]]^2</f>
        <v>16199.211497843269</v>
      </c>
    </row>
    <row r="230" spans="1:6" x14ac:dyDescent="0.25">
      <c r="A230" s="1" t="s">
        <v>235</v>
      </c>
      <c r="B230" s="2">
        <v>70</v>
      </c>
      <c r="C230" s="1">
        <f>(teraterm[[#This Row],[Value(V)]]+$K$2)*$S$2</f>
        <v>102.86853027343751</v>
      </c>
      <c r="D230" s="1">
        <f>(MOD(teraterm[[#This Row],[Column2]],4096)-Q$4)*$S$3*1000</f>
        <v>-118.00130208333333</v>
      </c>
      <c r="E230" s="1">
        <f>IF(ABS(VALUE(teraterm[[#This Row],[Column1]]))&lt;4095,VALUE(teraterm[[#This Row],[Column1]]),0)</f>
        <v>915</v>
      </c>
      <c r="F230" s="1">
        <f>teraterm[[#This Row],[V(V)]]^2</f>
        <v>10581.934520617131</v>
      </c>
    </row>
    <row r="231" spans="1:6" x14ac:dyDescent="0.25">
      <c r="A231" s="1" t="s">
        <v>236</v>
      </c>
      <c r="B231" s="2">
        <v>14</v>
      </c>
      <c r="C231" s="1">
        <f>(teraterm[[#This Row],[Value(V)]]+$K$2)*$S$2</f>
        <v>79.686889648437514</v>
      </c>
      <c r="D231" s="1">
        <f>(MOD(teraterm[[#This Row],[Column2]],4096)-Q$4)*$S$3*1000</f>
        <v>-140.78776041666666</v>
      </c>
      <c r="E231" s="1">
        <f>IF(ABS(VALUE(teraterm[[#This Row],[Column1]]))&lt;4095,VALUE(teraterm[[#This Row],[Column1]]),0)</f>
        <v>707</v>
      </c>
      <c r="F231" s="1">
        <f>teraterm[[#This Row],[V(V)]]^2</f>
        <v>6350.0003818422574</v>
      </c>
    </row>
    <row r="232" spans="1:6" x14ac:dyDescent="0.25">
      <c r="A232" s="1" t="s">
        <v>24</v>
      </c>
      <c r="B232" s="2">
        <v>4051</v>
      </c>
      <c r="C232" s="1">
        <f>(teraterm[[#This Row],[Value(V)]]+$K$2)*$S$2</f>
        <v>59.625854492187507</v>
      </c>
      <c r="D232" s="1">
        <f>(MOD(teraterm[[#This Row],[Column2]],4096)-Q$4)*$S$3*1000</f>
        <v>1501.8717447916665</v>
      </c>
      <c r="E232" s="1">
        <f>IF(ABS(VALUE(teraterm[[#This Row],[Column1]]))&lt;4095,VALUE(teraterm[[#This Row],[Column1]]),0)</f>
        <v>527</v>
      </c>
      <c r="F232" s="1">
        <f>teraterm[[#This Row],[V(V)]]^2</f>
        <v>3555.2425239235172</v>
      </c>
    </row>
    <row r="233" spans="1:6" x14ac:dyDescent="0.25">
      <c r="A233" s="1" t="s">
        <v>237</v>
      </c>
      <c r="B233" s="2">
        <v>4015</v>
      </c>
      <c r="C233" s="1">
        <f>(teraterm[[#This Row],[Value(V)]]+$K$2)*$S$2</f>
        <v>44.134277343750007</v>
      </c>
      <c r="D233" s="1">
        <f>(MOD(teraterm[[#This Row],[Column2]],4096)-Q$4)*$S$3*1000</f>
        <v>1487.2233072916665</v>
      </c>
      <c r="E233" s="1">
        <f>IF(ABS(VALUE(teraterm[[#This Row],[Column1]]))&lt;4095,VALUE(teraterm[[#This Row],[Column1]]),0)</f>
        <v>388</v>
      </c>
      <c r="F233" s="1">
        <f>teraterm[[#This Row],[V(V)]]^2</f>
        <v>1947.8344366550452</v>
      </c>
    </row>
    <row r="234" spans="1:6" x14ac:dyDescent="0.25">
      <c r="A234" s="1" t="s">
        <v>238</v>
      </c>
      <c r="B234" s="2">
        <v>3994</v>
      </c>
      <c r="C234" s="1">
        <f>(teraterm[[#This Row],[Value(V)]]+$K$2)*$S$2</f>
        <v>33.880859375000007</v>
      </c>
      <c r="D234" s="1">
        <f>(MOD(teraterm[[#This Row],[Column2]],4096)-Q$4)*$S$3*1000</f>
        <v>1478.6783854166665</v>
      </c>
      <c r="E234" s="1">
        <f>IF(ABS(VALUE(teraterm[[#This Row],[Column1]]))&lt;4095,VALUE(teraterm[[#This Row],[Column1]]),0)</f>
        <v>296</v>
      </c>
      <c r="F234" s="1">
        <f>teraterm[[#This Row],[V(V)]]^2</f>
        <v>1147.9126319885258</v>
      </c>
    </row>
    <row r="235" spans="1:6" x14ac:dyDescent="0.25">
      <c r="A235" s="1" t="s">
        <v>239</v>
      </c>
      <c r="B235" s="2">
        <v>3976</v>
      </c>
      <c r="C235" s="1">
        <f>(teraterm[[#This Row],[Value(V)]]+$K$2)*$S$2</f>
        <v>30.203002929687504</v>
      </c>
      <c r="D235" s="1">
        <f>(MOD(teraterm[[#This Row],[Column2]],4096)-Q$4)*$S$3*1000</f>
        <v>1471.3541666666665</v>
      </c>
      <c r="E235" s="1">
        <f>IF(ABS(VALUE(teraterm[[#This Row],[Column1]]))&lt;4095,VALUE(teraterm[[#This Row],[Column1]]),0)</f>
        <v>263</v>
      </c>
      <c r="F235" s="1">
        <f>teraterm[[#This Row],[V(V)]]^2</f>
        <v>912.22138597071194</v>
      </c>
    </row>
    <row r="236" spans="1:6" x14ac:dyDescent="0.25">
      <c r="A236" s="1" t="s">
        <v>115</v>
      </c>
      <c r="B236" s="2">
        <v>3976</v>
      </c>
      <c r="C236" s="1">
        <f>(teraterm[[#This Row],[Value(V)]]+$K$2)*$S$2</f>
        <v>28.642700195312504</v>
      </c>
      <c r="D236" s="1">
        <f>(MOD(teraterm[[#This Row],[Column2]],4096)-Q$4)*$S$3*1000</f>
        <v>1471.3541666666665</v>
      </c>
      <c r="E236" s="1">
        <f>IF(ABS(VALUE(teraterm[[#This Row],[Column1]]))&lt;4095,VALUE(teraterm[[#This Row],[Column1]]),0)</f>
        <v>249</v>
      </c>
      <c r="F236" s="1">
        <f>teraterm[[#This Row],[V(V)]]^2</f>
        <v>820.40427447855495</v>
      </c>
    </row>
    <row r="237" spans="1:6" x14ac:dyDescent="0.25">
      <c r="A237" s="1" t="s">
        <v>27</v>
      </c>
      <c r="B237" s="2">
        <v>3988</v>
      </c>
      <c r="C237" s="1">
        <f>(teraterm[[#This Row],[Value(V)]]+$K$2)*$S$2</f>
        <v>28.085449218750004</v>
      </c>
      <c r="D237" s="1">
        <f>(MOD(teraterm[[#This Row],[Column2]],4096)-Q$4)*$S$3*1000</f>
        <v>1476.2369791666665</v>
      </c>
      <c r="E237" s="1">
        <f>IF(ABS(VALUE(teraterm[[#This Row],[Column1]]))&lt;4095,VALUE(teraterm[[#This Row],[Column1]]),0)</f>
        <v>244</v>
      </c>
      <c r="F237" s="1">
        <f>teraterm[[#This Row],[V(V)]]^2</f>
        <v>788.79245781898521</v>
      </c>
    </row>
    <row r="238" spans="1:6" x14ac:dyDescent="0.25">
      <c r="A238" s="1" t="s">
        <v>35</v>
      </c>
      <c r="B238" s="2">
        <v>3979</v>
      </c>
      <c r="C238" s="1">
        <f>(teraterm[[#This Row],[Value(V)]]+$K$2)*$S$2</f>
        <v>29.088500976562504</v>
      </c>
      <c r="D238" s="1">
        <f>(MOD(teraterm[[#This Row],[Column2]],4096)-Q$4)*$S$3*1000</f>
        <v>1472.5748697916665</v>
      </c>
      <c r="E238" s="1">
        <f>IF(ABS(VALUE(teraterm[[#This Row],[Column1]]))&lt;4095,VALUE(teraterm[[#This Row],[Column1]]),0)</f>
        <v>253</v>
      </c>
      <c r="F238" s="1">
        <f>teraterm[[#This Row],[V(V)]]^2</f>
        <v>846.14088906347774</v>
      </c>
    </row>
    <row r="239" spans="1:6" x14ac:dyDescent="0.25">
      <c r="A239" s="1" t="s">
        <v>240</v>
      </c>
      <c r="B239" s="2">
        <v>4019</v>
      </c>
      <c r="C239" s="1">
        <f>(teraterm[[#This Row],[Value(V)]]+$K$2)*$S$2</f>
        <v>34.103759765625007</v>
      </c>
      <c r="D239" s="1">
        <f>(MOD(teraterm[[#This Row],[Column2]],4096)-Q$4)*$S$3*1000</f>
        <v>1488.8509114583333</v>
      </c>
      <c r="E239" s="1">
        <f>IF(ABS(VALUE(teraterm[[#This Row],[Column1]]))&lt;4095,VALUE(teraterm[[#This Row],[Column1]]),0)</f>
        <v>298</v>
      </c>
      <c r="F239" s="1">
        <f>teraterm[[#This Row],[V(V)]]^2</f>
        <v>1163.066430151463</v>
      </c>
    </row>
    <row r="240" spans="1:6" x14ac:dyDescent="0.25">
      <c r="A240" s="1" t="s">
        <v>241</v>
      </c>
      <c r="B240" s="2">
        <v>4060</v>
      </c>
      <c r="C240" s="1">
        <f>(teraterm[[#This Row],[Value(V)]]+$K$2)*$S$2</f>
        <v>50.264038085937507</v>
      </c>
      <c r="D240" s="1">
        <f>(MOD(teraterm[[#This Row],[Column2]],4096)-Q$4)*$S$3*1000</f>
        <v>1505.5338541666665</v>
      </c>
      <c r="E240" s="1">
        <f>IF(ABS(VALUE(teraterm[[#This Row],[Column1]]))&lt;4095,VALUE(teraterm[[#This Row],[Column1]]),0)</f>
        <v>443</v>
      </c>
      <c r="F240" s="1">
        <f>teraterm[[#This Row],[V(V)]]^2</f>
        <v>2526.4735247045764</v>
      </c>
    </row>
    <row r="241" spans="1:6" x14ac:dyDescent="0.25">
      <c r="A241" s="1" t="s">
        <v>242</v>
      </c>
      <c r="B241" s="2">
        <v>21</v>
      </c>
      <c r="C241" s="1">
        <f>(teraterm[[#This Row],[Value(V)]]+$K$2)*$S$2</f>
        <v>74.560180664062514</v>
      </c>
      <c r="D241" s="1">
        <f>(MOD(teraterm[[#This Row],[Column2]],4096)-Q$4)*$S$3*1000</f>
        <v>-137.939453125</v>
      </c>
      <c r="E241" s="1">
        <f>IF(ABS(VALUE(teraterm[[#This Row],[Column1]]))&lt;4095,VALUE(teraterm[[#This Row],[Column1]]),0)</f>
        <v>661</v>
      </c>
      <c r="F241" s="1">
        <f>teraterm[[#This Row],[V(V)]]^2</f>
        <v>5559.2205406576413</v>
      </c>
    </row>
    <row r="242" spans="1:6" x14ac:dyDescent="0.25">
      <c r="A242" s="1" t="s">
        <v>243</v>
      </c>
      <c r="B242" s="2">
        <v>87</v>
      </c>
      <c r="C242" s="1">
        <f>(teraterm[[#This Row],[Value(V)]]+$K$2)*$S$2</f>
        <v>96.515869140625014</v>
      </c>
      <c r="D242" s="1">
        <f>(MOD(teraterm[[#This Row],[Column2]],4096)-Q$4)*$S$3*1000</f>
        <v>-111.08398437499999</v>
      </c>
      <c r="E242" s="1">
        <f>IF(ABS(VALUE(teraterm[[#This Row],[Column1]]))&lt;4095,VALUE(teraterm[[#This Row],[Column1]]),0)</f>
        <v>858</v>
      </c>
      <c r="F242" s="1">
        <f>teraterm[[#This Row],[V(V)]]^2</f>
        <v>9315.3129959702528</v>
      </c>
    </row>
    <row r="243" spans="1:6" x14ac:dyDescent="0.25">
      <c r="A243" s="1" t="s">
        <v>244</v>
      </c>
      <c r="B243" s="2">
        <v>134</v>
      </c>
      <c r="C243" s="1">
        <f>(teraterm[[#This Row],[Value(V)]]+$K$2)*$S$2</f>
        <v>119.80895996093751</v>
      </c>
      <c r="D243" s="1">
        <f>(MOD(teraterm[[#This Row],[Column2]],4096)-Q$4)*$S$3*1000</f>
        <v>-91.959635416666657</v>
      </c>
      <c r="E243" s="1">
        <f>IF(ABS(VALUE(teraterm[[#This Row],[Column1]]))&lt;4095,VALUE(teraterm[[#This Row],[Column1]]),0)</f>
        <v>1067</v>
      </c>
      <c r="F243" s="1">
        <f>teraterm[[#This Row],[V(V)]]^2</f>
        <v>14354.186886921529</v>
      </c>
    </row>
    <row r="244" spans="1:6" x14ac:dyDescent="0.25">
      <c r="A244" s="1" t="s">
        <v>245</v>
      </c>
      <c r="B244" s="2">
        <v>196</v>
      </c>
      <c r="C244" s="1">
        <f>(teraterm[[#This Row],[Value(V)]]+$K$2)*$S$2</f>
        <v>147.44860839843753</v>
      </c>
      <c r="D244" s="1">
        <f>(MOD(teraterm[[#This Row],[Column2]],4096)-Q$4)*$S$3*1000</f>
        <v>-66.731770833333329</v>
      </c>
      <c r="E244" s="1">
        <f>IF(ABS(VALUE(teraterm[[#This Row],[Column1]]))&lt;4095,VALUE(teraterm[[#This Row],[Column1]]),0)</f>
        <v>1315</v>
      </c>
      <c r="F244" s="1">
        <f>teraterm[[#This Row],[V(V)]]^2</f>
        <v>21741.092118635781</v>
      </c>
    </row>
    <row r="245" spans="1:6" x14ac:dyDescent="0.25">
      <c r="A245" s="1" t="s">
        <v>246</v>
      </c>
      <c r="B245" s="2">
        <v>244</v>
      </c>
      <c r="C245" s="1">
        <f>(teraterm[[#This Row],[Value(V)]]+$K$2)*$S$2</f>
        <v>174.75390625000003</v>
      </c>
      <c r="D245" s="1">
        <f>(MOD(teraterm[[#This Row],[Column2]],4096)-Q$4)*$S$3*1000</f>
        <v>-47.200520833333329</v>
      </c>
      <c r="E245" s="1">
        <f>IF(ABS(VALUE(teraterm[[#This Row],[Column1]]))&lt;4095,VALUE(teraterm[[#This Row],[Column1]]),0)</f>
        <v>1560</v>
      </c>
      <c r="F245" s="1">
        <f>teraterm[[#This Row],[V(V)]]^2</f>
        <v>30538.9277496338</v>
      </c>
    </row>
    <row r="246" spans="1:6" x14ac:dyDescent="0.25">
      <c r="A246" s="1" t="s">
        <v>247</v>
      </c>
      <c r="B246" s="2">
        <v>273</v>
      </c>
      <c r="C246" s="1">
        <f>(teraterm[[#This Row],[Value(V)]]+$K$2)*$S$2</f>
        <v>203.39660644531253</v>
      </c>
      <c r="D246" s="1">
        <f>(MOD(teraterm[[#This Row],[Column2]],4096)-Q$4)*$S$3*1000</f>
        <v>-35.400390625</v>
      </c>
      <c r="E246" s="1">
        <f>IF(ABS(VALUE(teraterm[[#This Row],[Column1]]))&lt;4095,VALUE(teraterm[[#This Row],[Column1]]),0)</f>
        <v>1817</v>
      </c>
      <c r="F246" s="1">
        <f>teraterm[[#This Row],[V(V)]]^2</f>
        <v>41370.179513469353</v>
      </c>
    </row>
    <row r="247" spans="1:6" x14ac:dyDescent="0.25">
      <c r="A247" s="1" t="s">
        <v>248</v>
      </c>
      <c r="B247" s="2">
        <v>328</v>
      </c>
      <c r="C247" s="1">
        <f>(teraterm[[#This Row],[Value(V)]]+$K$2)*$S$2</f>
        <v>234.82556152343753</v>
      </c>
      <c r="D247" s="1">
        <f>(MOD(teraterm[[#This Row],[Column2]],4096)-Q$4)*$S$3*1000</f>
        <v>-13.020833333333332</v>
      </c>
      <c r="E247" s="1">
        <f>IF(ABS(VALUE(teraterm[[#This Row],[Column1]]))&lt;4095,VALUE(teraterm[[#This Row],[Column1]]),0)</f>
        <v>2099</v>
      </c>
      <c r="F247" s="1">
        <f>teraterm[[#This Row],[V(V)]]^2</f>
        <v>55143.044344797745</v>
      </c>
    </row>
    <row r="248" spans="1:6" x14ac:dyDescent="0.25">
      <c r="A248" s="1" t="s">
        <v>249</v>
      </c>
      <c r="B248" s="2">
        <v>365</v>
      </c>
      <c r="C248" s="1">
        <f>(teraterm[[#This Row],[Value(V)]]+$K$2)*$S$2</f>
        <v>266.14306640625006</v>
      </c>
      <c r="D248" s="1">
        <f>(MOD(teraterm[[#This Row],[Column2]],4096)-Q$4)*$S$3*1000</f>
        <v>2.034505208333333</v>
      </c>
      <c r="E248" s="1">
        <f>IF(ABS(VALUE(teraterm[[#This Row],[Column1]]))&lt;4095,VALUE(teraterm[[#This Row],[Column1]]),0)</f>
        <v>2380</v>
      </c>
      <c r="F248" s="1">
        <f>teraterm[[#This Row],[V(V)]]^2</f>
        <v>70832.131796121626</v>
      </c>
    </row>
    <row r="249" spans="1:6" x14ac:dyDescent="0.25">
      <c r="A249" s="1" t="s">
        <v>250</v>
      </c>
      <c r="B249" s="2">
        <v>412</v>
      </c>
      <c r="C249" s="1">
        <f>(teraterm[[#This Row],[Value(V)]]+$K$2)*$S$2</f>
        <v>293.11401367187506</v>
      </c>
      <c r="D249" s="1">
        <f>(MOD(teraterm[[#This Row],[Column2]],4096)-Q$4)*$S$3*1000</f>
        <v>21.158854166666664</v>
      </c>
      <c r="E249" s="1">
        <f>IF(ABS(VALUE(teraterm[[#This Row],[Column1]]))&lt;4095,VALUE(teraterm[[#This Row],[Column1]]),0)</f>
        <v>2622</v>
      </c>
      <c r="F249" s="1">
        <f>teraterm[[#This Row],[V(V)]]^2</f>
        <v>85915.825010836154</v>
      </c>
    </row>
    <row r="250" spans="1:6" x14ac:dyDescent="0.25">
      <c r="A250" s="1" t="s">
        <v>251</v>
      </c>
      <c r="B250" s="2">
        <v>455</v>
      </c>
      <c r="C250" s="1">
        <f>(teraterm[[#This Row],[Value(V)]]+$K$2)*$S$2</f>
        <v>320.41931152343756</v>
      </c>
      <c r="D250" s="1">
        <f>(MOD(teraterm[[#This Row],[Column2]],4096)-Q$4)*$S$3*1000</f>
        <v>38.655598958333329</v>
      </c>
      <c r="E250" s="1">
        <f>IF(ABS(VALUE(teraterm[[#This Row],[Column1]]))&lt;4095,VALUE(teraterm[[#This Row],[Column1]]),0)</f>
        <v>2867</v>
      </c>
      <c r="F250" s="1">
        <f>teraterm[[#This Row],[V(V)]]^2</f>
        <v>102668.53519715373</v>
      </c>
    </row>
    <row r="251" spans="1:6" x14ac:dyDescent="0.25">
      <c r="A251" s="1" t="s">
        <v>252</v>
      </c>
      <c r="B251" s="2">
        <v>507</v>
      </c>
      <c r="C251" s="1">
        <f>(teraterm[[#This Row],[Value(V)]]+$K$2)*$S$2</f>
        <v>346.72155761718756</v>
      </c>
      <c r="D251" s="1">
        <f>(MOD(teraterm[[#This Row],[Column2]],4096)-Q$4)*$S$3*1000</f>
        <v>59.814453124999993</v>
      </c>
      <c r="E251" s="1">
        <f>IF(ABS(VALUE(teraterm[[#This Row],[Column1]]))&lt;4095,VALUE(teraterm[[#This Row],[Column1]]),0)</f>
        <v>3103</v>
      </c>
      <c r="F251" s="1">
        <f>teraterm[[#This Row],[V(V)]]^2</f>
        <v>120215.83851648871</v>
      </c>
    </row>
    <row r="252" spans="1:6" x14ac:dyDescent="0.25">
      <c r="A252" s="1" t="s">
        <v>253</v>
      </c>
      <c r="B252" s="2">
        <v>553</v>
      </c>
      <c r="C252" s="1">
        <f>(teraterm[[#This Row],[Value(V)]]+$K$2)*$S$2</f>
        <v>370.57189941406256</v>
      </c>
      <c r="D252" s="1">
        <f>(MOD(teraterm[[#This Row],[Column2]],4096)-Q$4)*$S$3*1000</f>
        <v>78.531901041666657</v>
      </c>
      <c r="E252" s="1">
        <f>IF(ABS(VALUE(teraterm[[#This Row],[Column1]]))&lt;4095,VALUE(teraterm[[#This Row],[Column1]]),0)</f>
        <v>3317</v>
      </c>
      <c r="F252" s="1">
        <f>teraterm[[#This Row],[V(V)]]^2</f>
        <v>137323.53263534608</v>
      </c>
    </row>
    <row r="253" spans="1:6" x14ac:dyDescent="0.25">
      <c r="A253" s="1" t="s">
        <v>254</v>
      </c>
      <c r="B253" s="2">
        <v>598</v>
      </c>
      <c r="C253" s="1">
        <f>(teraterm[[#This Row],[Value(V)]]+$K$2)*$S$2</f>
        <v>392.97338867187506</v>
      </c>
      <c r="D253" s="1">
        <f>(MOD(teraterm[[#This Row],[Column2]],4096)-Q$4)*$S$3*1000</f>
        <v>96.842447916666657</v>
      </c>
      <c r="E253" s="1">
        <f>IF(ABS(VALUE(teraterm[[#This Row],[Column1]]))&lt;4095,VALUE(teraterm[[#This Row],[Column1]]),0)</f>
        <v>3518</v>
      </c>
      <c r="F253" s="1">
        <f>teraterm[[#This Row],[V(V)]]^2</f>
        <v>154428.08420425659</v>
      </c>
    </row>
    <row r="254" spans="1:6" x14ac:dyDescent="0.25">
      <c r="A254" s="1" t="s">
        <v>255</v>
      </c>
      <c r="B254" s="2">
        <v>629</v>
      </c>
      <c r="C254" s="1">
        <f>(teraterm[[#This Row],[Value(V)]]+$K$2)*$S$2</f>
        <v>413.48022460937506</v>
      </c>
      <c r="D254" s="1">
        <f>(MOD(teraterm[[#This Row],[Column2]],4096)-Q$4)*$S$3*1000</f>
        <v>109.45638020833333</v>
      </c>
      <c r="E254" s="1">
        <f>IF(ABS(VALUE(teraterm[[#This Row],[Column1]]))&lt;4095,VALUE(teraterm[[#This Row],[Column1]]),0)</f>
        <v>3702</v>
      </c>
      <c r="F254" s="1">
        <f>teraterm[[#This Row],[V(V)]]^2</f>
        <v>170965.89614301926</v>
      </c>
    </row>
    <row r="255" spans="1:6" x14ac:dyDescent="0.25">
      <c r="A255" s="1" t="s">
        <v>256</v>
      </c>
      <c r="B255" s="2">
        <v>642</v>
      </c>
      <c r="C255" s="1">
        <f>(teraterm[[#This Row],[Value(V)]]+$K$2)*$S$2</f>
        <v>428.74890136718756</v>
      </c>
      <c r="D255" s="1">
        <f>(MOD(teraterm[[#This Row],[Column2]],4096)-Q$4)*$S$3*1000</f>
        <v>114.74609374999999</v>
      </c>
      <c r="E255" s="1">
        <f>IF(ABS(VALUE(teraterm[[#This Row],[Column1]]))&lt;4095,VALUE(teraterm[[#This Row],[Column1]]),0)</f>
        <v>3839</v>
      </c>
      <c r="F255" s="1">
        <f>teraterm[[#This Row],[V(V)]]^2</f>
        <v>183825.62042357033</v>
      </c>
    </row>
    <row r="256" spans="1:6" x14ac:dyDescent="0.25">
      <c r="A256" s="1" t="s">
        <v>257</v>
      </c>
      <c r="B256" s="2">
        <v>654</v>
      </c>
      <c r="C256" s="1">
        <f>(teraterm[[#This Row],[Value(V)]]+$K$2)*$S$2</f>
        <v>439.89392089843756</v>
      </c>
      <c r="D256" s="1">
        <f>(MOD(teraterm[[#This Row],[Column2]],4096)-Q$4)*$S$3*1000</f>
        <v>119.62890624999999</v>
      </c>
      <c r="E256" s="1">
        <f>IF(ABS(VALUE(teraterm[[#This Row],[Column1]]))&lt;4095,VALUE(teraterm[[#This Row],[Column1]]),0)</f>
        <v>3939</v>
      </c>
      <c r="F256" s="1">
        <f>teraterm[[#This Row],[V(V)]]^2</f>
        <v>193506.66164340085</v>
      </c>
    </row>
    <row r="257" spans="1:6" x14ac:dyDescent="0.25">
      <c r="A257" s="1" t="s">
        <v>258</v>
      </c>
      <c r="B257" s="2">
        <v>674</v>
      </c>
      <c r="C257" s="1">
        <f>(teraterm[[#This Row],[Value(V)]]+$K$2)*$S$2</f>
        <v>445.35498046875006</v>
      </c>
      <c r="D257" s="1">
        <f>(MOD(teraterm[[#This Row],[Column2]],4096)-Q$4)*$S$3*1000</f>
        <v>127.76692708333331</v>
      </c>
      <c r="E257" s="1">
        <f>IF(ABS(VALUE(teraterm[[#This Row],[Column1]]))&lt;4095,VALUE(teraterm[[#This Row],[Column1]]),0)</f>
        <v>3988</v>
      </c>
      <c r="F257" s="1">
        <f>teraterm[[#This Row],[V(V)]]^2</f>
        <v>198341.05862832075</v>
      </c>
    </row>
    <row r="258" spans="1:6" x14ac:dyDescent="0.25">
      <c r="A258" s="1" t="s">
        <v>174</v>
      </c>
      <c r="B258" s="2">
        <v>666</v>
      </c>
      <c r="C258" s="1">
        <f>(teraterm[[#This Row],[Value(V)]]+$K$2)*$S$2</f>
        <v>447.58398437500006</v>
      </c>
      <c r="D258" s="1">
        <f>(MOD(teraterm[[#This Row],[Column2]],4096)-Q$4)*$S$3*1000</f>
        <v>124.51171874999999</v>
      </c>
      <c r="E258" s="1">
        <f>IF(ABS(VALUE(teraterm[[#This Row],[Column1]]))&lt;4095,VALUE(teraterm[[#This Row],[Column1]]),0)</f>
        <v>4008</v>
      </c>
      <c r="F258" s="1">
        <f>teraterm[[#This Row],[V(V)]]^2</f>
        <v>200331.4230690003</v>
      </c>
    </row>
    <row r="259" spans="1:6" x14ac:dyDescent="0.25">
      <c r="A259" s="1" t="s">
        <v>175</v>
      </c>
      <c r="B259" s="2">
        <v>663</v>
      </c>
      <c r="C259" s="1">
        <f>(teraterm[[#This Row],[Value(V)]]+$K$2)*$S$2</f>
        <v>448.92138671875006</v>
      </c>
      <c r="D259" s="1">
        <f>(MOD(teraterm[[#This Row],[Column2]],4096)-Q$4)*$S$3*1000</f>
        <v>123.29101562499999</v>
      </c>
      <c r="E259" s="1">
        <f>IF(ABS(VALUE(teraterm[[#This Row],[Column1]]))&lt;4095,VALUE(teraterm[[#This Row],[Column1]]),0)</f>
        <v>4020</v>
      </c>
      <c r="F259" s="1">
        <f>teraterm[[#This Row],[V(V)]]^2</f>
        <v>201530.41145348555</v>
      </c>
    </row>
    <row r="260" spans="1:6" x14ac:dyDescent="0.25">
      <c r="A260" s="1" t="s">
        <v>29</v>
      </c>
      <c r="B260" s="2">
        <v>657</v>
      </c>
      <c r="C260" s="1">
        <f>(teraterm[[#This Row],[Value(V)]]+$K$2)*$S$2</f>
        <v>449.47863769531256</v>
      </c>
      <c r="D260" s="1">
        <f>(MOD(teraterm[[#This Row],[Column2]],4096)-Q$4)*$S$3*1000</f>
        <v>120.84960937499999</v>
      </c>
      <c r="E260" s="1">
        <f>IF(ABS(VALUE(teraterm[[#This Row],[Column1]]))&lt;4095,VALUE(teraterm[[#This Row],[Column1]]),0)</f>
        <v>4025</v>
      </c>
      <c r="F260" s="1">
        <f>teraterm[[#This Row],[V(V)]]^2</f>
        <v>202031.04574443406</v>
      </c>
    </row>
    <row r="261" spans="1:6" x14ac:dyDescent="0.25">
      <c r="A261" s="1" t="s">
        <v>220</v>
      </c>
      <c r="B261" s="2">
        <v>666</v>
      </c>
      <c r="C261" s="1">
        <f>(teraterm[[#This Row],[Value(V)]]+$K$2)*$S$2</f>
        <v>447.13818359375006</v>
      </c>
      <c r="D261" s="1">
        <f>(MOD(teraterm[[#This Row],[Column2]],4096)-Q$4)*$S$3*1000</f>
        <v>124.51171874999999</v>
      </c>
      <c r="E261" s="1">
        <f>IF(ABS(VALUE(teraterm[[#This Row],[Column1]]))&lt;4095,VALUE(teraterm[[#This Row],[Column1]]),0)</f>
        <v>4004</v>
      </c>
      <c r="F261" s="1">
        <f>teraterm[[#This Row],[V(V)]]^2</f>
        <v>199932.55522751814</v>
      </c>
    </row>
    <row r="262" spans="1:6" x14ac:dyDescent="0.25">
      <c r="A262" s="1" t="s">
        <v>259</v>
      </c>
      <c r="B262" s="2">
        <v>640</v>
      </c>
      <c r="C262" s="1">
        <f>(teraterm[[#This Row],[Value(V)]]+$K$2)*$S$2</f>
        <v>436.43896484375006</v>
      </c>
      <c r="D262" s="1">
        <f>(MOD(teraterm[[#This Row],[Column2]],4096)-Q$4)*$S$3*1000</f>
        <v>113.93229166666666</v>
      </c>
      <c r="E262" s="1">
        <f>IF(ABS(VALUE(teraterm[[#This Row],[Column1]]))&lt;4095,VALUE(teraterm[[#This Row],[Column1]]),0)</f>
        <v>3908</v>
      </c>
      <c r="F262" s="1">
        <f>teraterm[[#This Row],[V(V)]]^2</f>
        <v>190478.97003388411</v>
      </c>
    </row>
    <row r="263" spans="1:6" x14ac:dyDescent="0.25">
      <c r="A263" s="1" t="s">
        <v>260</v>
      </c>
      <c r="B263" s="2">
        <v>598</v>
      </c>
      <c r="C263" s="1">
        <f>(teraterm[[#This Row],[Value(V)]]+$K$2)*$S$2</f>
        <v>415.26342773437506</v>
      </c>
      <c r="D263" s="1">
        <f>(MOD(teraterm[[#This Row],[Column2]],4096)-Q$4)*$S$3*1000</f>
        <v>96.842447916666657</v>
      </c>
      <c r="E263" s="1">
        <f>IF(ABS(VALUE(teraterm[[#This Row],[Column1]]))&lt;4095,VALUE(teraterm[[#This Row],[Column1]]),0)</f>
        <v>3718</v>
      </c>
      <c r="F263" s="1">
        <f>teraterm[[#This Row],[V(V)]]^2</f>
        <v>172443.71441370255</v>
      </c>
    </row>
    <row r="264" spans="1:6" x14ac:dyDescent="0.25">
      <c r="A264" s="1" t="s">
        <v>261</v>
      </c>
      <c r="B264" s="2">
        <v>551</v>
      </c>
      <c r="C264" s="1">
        <f>(teraterm[[#This Row],[Value(V)]]+$K$2)*$S$2</f>
        <v>393.64208984375006</v>
      </c>
      <c r="D264" s="1">
        <f>(MOD(teraterm[[#This Row],[Column2]],4096)-Q$4)*$S$3*1000</f>
        <v>77.718098958333329</v>
      </c>
      <c r="E264" s="1">
        <f>IF(ABS(VALUE(teraterm[[#This Row],[Column1]]))&lt;4095,VALUE(teraterm[[#This Row],[Column1]]),0)</f>
        <v>3524</v>
      </c>
      <c r="F264" s="1">
        <f>teraterm[[#This Row],[V(V)]]^2</f>
        <v>154954.09489655501</v>
      </c>
    </row>
    <row r="265" spans="1:6" x14ac:dyDescent="0.25">
      <c r="A265" s="1" t="s">
        <v>262</v>
      </c>
      <c r="B265" s="2">
        <v>526</v>
      </c>
      <c r="C265" s="1">
        <f>(teraterm[[#This Row],[Value(V)]]+$K$2)*$S$2</f>
        <v>372.13220214843756</v>
      </c>
      <c r="D265" s="1">
        <f>(MOD(teraterm[[#This Row],[Column2]],4096)-Q$4)*$S$3*1000</f>
        <v>67.545572916666657</v>
      </c>
      <c r="E265" s="1">
        <f>IF(ABS(VALUE(teraterm[[#This Row],[Column1]]))&lt;4095,VALUE(teraterm[[#This Row],[Column1]]),0)</f>
        <v>3331</v>
      </c>
      <c r="F265" s="1">
        <f>teraterm[[#This Row],[V(V)]]^2</f>
        <v>138482.37587584558</v>
      </c>
    </row>
    <row r="266" spans="1:6" x14ac:dyDescent="0.25">
      <c r="A266" s="1" t="s">
        <v>252</v>
      </c>
      <c r="B266" s="2">
        <v>489</v>
      </c>
      <c r="C266" s="1">
        <f>(teraterm[[#This Row],[Value(V)]]+$K$2)*$S$2</f>
        <v>346.72155761718756</v>
      </c>
      <c r="D266" s="1">
        <f>(MOD(teraterm[[#This Row],[Column2]],4096)-Q$4)*$S$3*1000</f>
        <v>52.490234374999993</v>
      </c>
      <c r="E266" s="1">
        <f>IF(ABS(VALUE(teraterm[[#This Row],[Column1]]))&lt;4095,VALUE(teraterm[[#This Row],[Column1]]),0)</f>
        <v>3103</v>
      </c>
      <c r="F266" s="1">
        <f>teraterm[[#This Row],[V(V)]]^2</f>
        <v>120215.83851648871</v>
      </c>
    </row>
    <row r="267" spans="1:6" x14ac:dyDescent="0.25">
      <c r="A267" s="1" t="s">
        <v>263</v>
      </c>
      <c r="B267" s="2">
        <v>446</v>
      </c>
      <c r="C267" s="1">
        <f>(teraterm[[#This Row],[Value(V)]]+$K$2)*$S$2</f>
        <v>319.97351074218756</v>
      </c>
      <c r="D267" s="1">
        <f>(MOD(teraterm[[#This Row],[Column2]],4096)-Q$4)*$S$3*1000</f>
        <v>34.993489583333329</v>
      </c>
      <c r="E267" s="1">
        <f>IF(ABS(VALUE(teraterm[[#This Row],[Column1]]))&lt;4095,VALUE(teraterm[[#This Row],[Column1]]),0)</f>
        <v>2863</v>
      </c>
      <c r="F267" s="1">
        <f>teraterm[[#This Row],[V(V)]]^2</f>
        <v>102383.04757668081</v>
      </c>
    </row>
    <row r="268" spans="1:6" x14ac:dyDescent="0.25">
      <c r="A268" s="1" t="s">
        <v>264</v>
      </c>
      <c r="B268" s="2">
        <v>405</v>
      </c>
      <c r="C268" s="1">
        <f>(teraterm[[#This Row],[Value(V)]]+$K$2)*$S$2</f>
        <v>292.33386230468756</v>
      </c>
      <c r="D268" s="1">
        <f>(MOD(teraterm[[#This Row],[Column2]],4096)-Q$4)*$S$3*1000</f>
        <v>18.310546875</v>
      </c>
      <c r="E268" s="1">
        <f>IF(ABS(VALUE(teraterm[[#This Row],[Column1]]))&lt;4095,VALUE(teraterm[[#This Row],[Column1]]),0)</f>
        <v>2615</v>
      </c>
      <c r="F268" s="1">
        <f>teraterm[[#This Row],[V(V)]]^2</f>
        <v>85459.08704997602</v>
      </c>
    </row>
    <row r="269" spans="1:6" x14ac:dyDescent="0.25">
      <c r="A269" s="1" t="s">
        <v>265</v>
      </c>
      <c r="B269" s="2">
        <v>370</v>
      </c>
      <c r="C269" s="1">
        <f>(teraterm[[#This Row],[Value(V)]]+$K$2)*$S$2</f>
        <v>261.68505859375006</v>
      </c>
      <c r="D269" s="1">
        <f>(MOD(teraterm[[#This Row],[Column2]],4096)-Q$4)*$S$3*1000</f>
        <v>4.0690104166666661</v>
      </c>
      <c r="E269" s="1">
        <f>IF(ABS(VALUE(teraterm[[#This Row],[Column1]]))&lt;4095,VALUE(teraterm[[#This Row],[Column1]]),0)</f>
        <v>2340</v>
      </c>
      <c r="F269" s="1">
        <f>teraterm[[#This Row],[V(V)]]^2</f>
        <v>68479.0698912144</v>
      </c>
    </row>
    <row r="270" spans="1:6" x14ac:dyDescent="0.25">
      <c r="A270" s="1" t="s">
        <v>266</v>
      </c>
      <c r="B270" s="2">
        <v>314</v>
      </c>
      <c r="C270" s="1">
        <f>(teraterm[[#This Row],[Value(V)]]+$K$2)*$S$2</f>
        <v>230.03320312500003</v>
      </c>
      <c r="D270" s="1">
        <f>(MOD(teraterm[[#This Row],[Column2]],4096)-Q$4)*$S$3*1000</f>
        <v>-18.717447916666664</v>
      </c>
      <c r="E270" s="1">
        <f>IF(ABS(VALUE(teraterm[[#This Row],[Column1]]))&lt;4095,VALUE(teraterm[[#This Row],[Column1]]),0)</f>
        <v>2056</v>
      </c>
      <c r="F270" s="1">
        <f>teraterm[[#This Row],[V(V)]]^2</f>
        <v>52915.274539947524</v>
      </c>
    </row>
    <row r="271" spans="1:6" x14ac:dyDescent="0.25">
      <c r="A271" s="1" t="s">
        <v>267</v>
      </c>
      <c r="B271" s="2">
        <v>270</v>
      </c>
      <c r="C271" s="1">
        <f>(teraterm[[#This Row],[Value(V)]]+$K$2)*$S$2</f>
        <v>200.49890136718753</v>
      </c>
      <c r="D271" s="1">
        <f>(MOD(teraterm[[#This Row],[Column2]],4096)-Q$4)*$S$3*1000</f>
        <v>-36.62109375</v>
      </c>
      <c r="E271" s="1">
        <f>IF(ABS(VALUE(teraterm[[#This Row],[Column1]]))&lt;4095,VALUE(teraterm[[#This Row],[Column1]]),0)</f>
        <v>1791</v>
      </c>
      <c r="F271" s="1">
        <f>teraterm[[#This Row],[V(V)]]^2</f>
        <v>40199.809449449196</v>
      </c>
    </row>
    <row r="272" spans="1:6" x14ac:dyDescent="0.25">
      <c r="A272" s="1" t="s">
        <v>268</v>
      </c>
      <c r="B272" s="2">
        <v>228</v>
      </c>
      <c r="C272" s="1">
        <f>(teraterm[[#This Row],[Value(V)]]+$K$2)*$S$2</f>
        <v>172.19055175781253</v>
      </c>
      <c r="D272" s="1">
        <f>(MOD(teraterm[[#This Row],[Column2]],4096)-Q$4)*$S$3*1000</f>
        <v>-53.710937499999993</v>
      </c>
      <c r="E272" s="1">
        <f>IF(ABS(VALUE(teraterm[[#This Row],[Column1]]))&lt;4095,VALUE(teraterm[[#This Row],[Column1]]),0)</f>
        <v>1537</v>
      </c>
      <c r="F272" s="1">
        <f>teraterm[[#This Row],[V(V)]]^2</f>
        <v>29649.586114659916</v>
      </c>
    </row>
    <row r="273" spans="1:6" x14ac:dyDescent="0.25">
      <c r="A273" s="1" t="s">
        <v>269</v>
      </c>
      <c r="B273" s="2">
        <v>161</v>
      </c>
      <c r="C273" s="1">
        <f>(teraterm[[#This Row],[Value(V)]]+$K$2)*$S$2</f>
        <v>144.55090332031253</v>
      </c>
      <c r="D273" s="1">
        <f>(MOD(teraterm[[#This Row],[Column2]],4096)-Q$4)*$S$3*1000</f>
        <v>-80.973307291666657</v>
      </c>
      <c r="E273" s="1">
        <f>IF(ABS(VALUE(teraterm[[#This Row],[Column1]]))&lt;4095,VALUE(teraterm[[#This Row],[Column1]]),0)</f>
        <v>1289</v>
      </c>
      <c r="F273" s="1">
        <f>teraterm[[#This Row],[V(V)]]^2</f>
        <v>20894.963650718339</v>
      </c>
    </row>
    <row r="274" spans="1:6" x14ac:dyDescent="0.25">
      <c r="A274" s="1" t="s">
        <v>270</v>
      </c>
      <c r="B274" s="2">
        <v>105</v>
      </c>
      <c r="C274" s="1">
        <f>(teraterm[[#This Row],[Value(V)]]+$K$2)*$S$2</f>
        <v>118.58300781250001</v>
      </c>
      <c r="D274" s="1">
        <f>(MOD(teraterm[[#This Row],[Column2]],4096)-Q$4)*$S$3*1000</f>
        <v>-103.75976562499999</v>
      </c>
      <c r="E274" s="1">
        <f>IF(ABS(VALUE(teraterm[[#This Row],[Column1]]))&lt;4095,VALUE(teraterm[[#This Row],[Column1]]),0)</f>
        <v>1056</v>
      </c>
      <c r="F274" s="1">
        <f>teraterm[[#This Row],[V(V)]]^2</f>
        <v>14061.92974185944</v>
      </c>
    </row>
    <row r="275" spans="1:6" x14ac:dyDescent="0.25">
      <c r="C275" s="1">
        <f>(teraterm[[#This Row],[Value(V)]]+$K$2)*$S$2</f>
        <v>0.89160156250000011</v>
      </c>
      <c r="D275" s="1">
        <f>(MOD(teraterm[[#This Row],[Column2]],4096)-Q$4)*$S$3*1000</f>
        <v>-146.484375</v>
      </c>
      <c r="E275" s="1">
        <f>IF(ABS(VALUE(teraterm[[#This Row],[Column1]]))&lt;4095,VALUE(teraterm[[#This Row],[Column1]]),0)</f>
        <v>0</v>
      </c>
      <c r="F275" s="1">
        <f>teraterm[[#This Row],[V(V)]]^2</f>
        <v>0.79495334625244163</v>
      </c>
    </row>
    <row r="276" spans="1:6" x14ac:dyDescent="0.25">
      <c r="C276" s="1">
        <f>(teraterm[[#This Row],[Value(V)]]+$K$2)*$S$2</f>
        <v>0.89160156250000011</v>
      </c>
      <c r="D276" s="1">
        <f>(MOD(teraterm[[#This Row],[Column2]],4096)-Q$4)*$S$3*1000</f>
        <v>-146.484375</v>
      </c>
      <c r="E276" s="1">
        <f>IF(ABS(VALUE(teraterm[[#This Row],[Column1]]))&lt;4095,VALUE(teraterm[[#This Row],[Column1]]),0)</f>
        <v>0</v>
      </c>
      <c r="F276" s="1">
        <f>teraterm[[#This Row],[V(V)]]^2</f>
        <v>0.79495334625244163</v>
      </c>
    </row>
    <row r="277" spans="1:6" x14ac:dyDescent="0.25">
      <c r="C277" s="1">
        <f>(teraterm[[#This Row],[Value(V)]]+$K$2)*$S$2</f>
        <v>0.89160156250000011</v>
      </c>
      <c r="D277" s="1">
        <f>(MOD(teraterm[[#This Row],[Column2]],4096)-Q$4)*$S$3*1000</f>
        <v>-146.484375</v>
      </c>
      <c r="E277" s="1">
        <f>IF(ABS(VALUE(teraterm[[#This Row],[Column1]]))&lt;4095,VALUE(teraterm[[#This Row],[Column1]]),0)</f>
        <v>0</v>
      </c>
      <c r="F277" s="1">
        <f>teraterm[[#This Row],[V(V)]]^2</f>
        <v>0.79495334625244163</v>
      </c>
    </row>
    <row r="278" spans="1:6" x14ac:dyDescent="0.25">
      <c r="C278" s="1">
        <f>(teraterm[[#This Row],[Value(V)]]+$K$2)*$S$2</f>
        <v>0.89160156250000011</v>
      </c>
      <c r="D278" s="1">
        <f>(MOD(teraterm[[#This Row],[Column2]],4096)-Q$4)*$S$3*1000</f>
        <v>-146.484375</v>
      </c>
      <c r="E278" s="1">
        <f>IF(ABS(VALUE(teraterm[[#This Row],[Column1]]))&lt;4095,VALUE(teraterm[[#This Row],[Column1]]),0)</f>
        <v>0</v>
      </c>
      <c r="F278" s="1">
        <f>teraterm[[#This Row],[V(V)]]^2</f>
        <v>0.79495334625244163</v>
      </c>
    </row>
    <row r="279" spans="1:6" x14ac:dyDescent="0.25">
      <c r="C279" s="1">
        <f>(teraterm[[#This Row],[Value(V)]]+$K$2)*$S$2</f>
        <v>0.89160156250000011</v>
      </c>
      <c r="D279" s="1">
        <f>(MOD(teraterm[[#This Row],[Column2]],4096)-Q$4)*$S$3*1000</f>
        <v>-146.484375</v>
      </c>
      <c r="E279" s="1">
        <f>IF(ABS(VALUE(teraterm[[#This Row],[Column1]]))&lt;4095,VALUE(teraterm[[#This Row],[Column1]]),0)</f>
        <v>0</v>
      </c>
      <c r="F279" s="1">
        <f>teraterm[[#This Row],[V(V)]]^2</f>
        <v>0.79495334625244163</v>
      </c>
    </row>
    <row r="280" spans="1:6" x14ac:dyDescent="0.25">
      <c r="C280" s="1">
        <f>(teraterm[[#This Row],[Value(V)]]+$K$2)*$S$2</f>
        <v>0.89160156250000011</v>
      </c>
      <c r="D280" s="1">
        <f>(MOD(teraterm[[#This Row],[Column2]],4096)-Q$4)*$S$3*1000</f>
        <v>-146.484375</v>
      </c>
      <c r="E280" s="1">
        <f>IF(ABS(VALUE(teraterm[[#This Row],[Column1]]))&lt;4095,VALUE(teraterm[[#This Row],[Column1]]),0)</f>
        <v>0</v>
      </c>
      <c r="F280" s="1">
        <f>teraterm[[#This Row],[V(V)]]^2</f>
        <v>0.79495334625244163</v>
      </c>
    </row>
    <row r="281" spans="1:6" x14ac:dyDescent="0.25">
      <c r="C281" s="1">
        <f>(teraterm[[#This Row],[Value(V)]]+$K$2)*$S$2</f>
        <v>0.89160156250000011</v>
      </c>
      <c r="D281" s="1">
        <f>(MOD(teraterm[[#This Row],[Column2]],4096)-Q$4)*$S$3*1000</f>
        <v>-146.484375</v>
      </c>
      <c r="E281" s="1">
        <f>IF(ABS(VALUE(teraterm[[#This Row],[Column1]]))&lt;4095,VALUE(teraterm[[#This Row],[Column1]]),0)</f>
        <v>0</v>
      </c>
      <c r="F281" s="1">
        <f>teraterm[[#This Row],[V(V)]]^2</f>
        <v>0.79495334625244163</v>
      </c>
    </row>
    <row r="282" spans="1:6" x14ac:dyDescent="0.25">
      <c r="C282" s="1">
        <f>(teraterm[[#This Row],[Value(V)]]+$K$2)*$S$2</f>
        <v>0.89160156250000011</v>
      </c>
      <c r="D282" s="1">
        <f>(MOD(teraterm[[#This Row],[Column2]],4096)-Q$4)*$S$3*1000</f>
        <v>-146.484375</v>
      </c>
      <c r="E282" s="1">
        <f>IF(ABS(VALUE(teraterm[[#This Row],[Column1]]))&lt;4095,VALUE(teraterm[[#This Row],[Column1]]),0)</f>
        <v>0</v>
      </c>
      <c r="F282" s="1">
        <f>teraterm[[#This Row],[V(V)]]^2</f>
        <v>0.79495334625244163</v>
      </c>
    </row>
    <row r="283" spans="1:6" x14ac:dyDescent="0.25">
      <c r="C283" s="1">
        <f>(teraterm[[#This Row],[Value(V)]]+$K$2)*$S$2</f>
        <v>0.89160156250000011</v>
      </c>
      <c r="D283" s="1">
        <f>(MOD(teraterm[[#This Row],[Column2]],4096)-Q$4)*$S$3*1000</f>
        <v>-146.484375</v>
      </c>
      <c r="E283" s="1">
        <f>IF(ABS(VALUE(teraterm[[#This Row],[Column1]]))&lt;4095,VALUE(teraterm[[#This Row],[Column1]]),0)</f>
        <v>0</v>
      </c>
      <c r="F283" s="1">
        <f>teraterm[[#This Row],[V(V)]]^2</f>
        <v>0.79495334625244163</v>
      </c>
    </row>
    <row r="284" spans="1:6" x14ac:dyDescent="0.25">
      <c r="C284" s="1">
        <f>(teraterm[[#This Row],[Value(V)]]+$K$2)*$S$2</f>
        <v>0.89160156250000011</v>
      </c>
      <c r="D284" s="1">
        <f>(MOD(teraterm[[#This Row],[Column2]],4096)-Q$4)*$S$3*1000</f>
        <v>-146.484375</v>
      </c>
      <c r="E284" s="1">
        <f>IF(ABS(VALUE(teraterm[[#This Row],[Column1]]))&lt;4095,VALUE(teraterm[[#This Row],[Column1]]),0)</f>
        <v>0</v>
      </c>
      <c r="F284" s="1">
        <f>teraterm[[#This Row],[V(V)]]^2</f>
        <v>0.79495334625244163</v>
      </c>
    </row>
    <row r="285" spans="1:6" x14ac:dyDescent="0.25">
      <c r="C285" s="1">
        <f>(teraterm[[#This Row],[Value(V)]]+$K$2)*$S$2</f>
        <v>0.89160156250000011</v>
      </c>
      <c r="D285" s="1">
        <f>(MOD(teraterm[[#This Row],[Column2]],4096)-Q$4)*$S$3*1000</f>
        <v>-146.484375</v>
      </c>
      <c r="E285" s="1">
        <f>IF(ABS(VALUE(teraterm[[#This Row],[Column1]]))&lt;4095,VALUE(teraterm[[#This Row],[Column1]]),0)</f>
        <v>0</v>
      </c>
      <c r="F285" s="1">
        <f>teraterm[[#This Row],[V(V)]]^2</f>
        <v>0.79495334625244163</v>
      </c>
    </row>
    <row r="286" spans="1:6" x14ac:dyDescent="0.25">
      <c r="C286" s="1">
        <f>(teraterm[[#This Row],[Value(V)]]+$K$2)*$S$2</f>
        <v>0.89160156250000011</v>
      </c>
      <c r="D286" s="1">
        <f>(MOD(teraterm[[#This Row],[Column2]],4096)-Q$4)*$S$3*1000</f>
        <v>-146.484375</v>
      </c>
      <c r="E286" s="1">
        <f>IF(ABS(VALUE(teraterm[[#This Row],[Column1]]))&lt;4095,VALUE(teraterm[[#This Row],[Column1]]),0)</f>
        <v>0</v>
      </c>
      <c r="F286" s="1">
        <f>teraterm[[#This Row],[V(V)]]^2</f>
        <v>0.79495334625244163</v>
      </c>
    </row>
    <row r="287" spans="1:6" x14ac:dyDescent="0.25">
      <c r="C287" s="1">
        <f>(teraterm[[#This Row],[Value(V)]]+$K$2)*$S$2</f>
        <v>0.89160156250000011</v>
      </c>
      <c r="D287" s="1">
        <f>(MOD(teraterm[[#This Row],[Column2]],4096)-Q$4)*$S$3*1000</f>
        <v>-146.484375</v>
      </c>
      <c r="E287" s="1">
        <f>IF(ABS(VALUE(teraterm[[#This Row],[Column1]]))&lt;4095,VALUE(teraterm[[#This Row],[Column1]]),0)</f>
        <v>0</v>
      </c>
      <c r="F287" s="1">
        <f>teraterm[[#This Row],[V(V)]]^2</f>
        <v>0.79495334625244163</v>
      </c>
    </row>
    <row r="288" spans="1:6" x14ac:dyDescent="0.25">
      <c r="C288" s="1">
        <f>(teraterm[[#This Row],[Value(V)]]+$K$2)*$S$2</f>
        <v>0.89160156250000011</v>
      </c>
      <c r="D288" s="1">
        <f>(MOD(teraterm[[#This Row],[Column2]],4096)-Q$4)*$S$3*1000</f>
        <v>-146.484375</v>
      </c>
      <c r="E288" s="1">
        <f>IF(ABS(VALUE(teraterm[[#This Row],[Column1]]))&lt;4095,VALUE(teraterm[[#This Row],[Column1]]),0)</f>
        <v>0</v>
      </c>
      <c r="F288" s="1">
        <f>teraterm[[#This Row],[V(V)]]^2</f>
        <v>0.79495334625244163</v>
      </c>
    </row>
    <row r="289" spans="3:6" x14ac:dyDescent="0.25">
      <c r="C289" s="1">
        <f>(teraterm[[#This Row],[Value(V)]]+$K$2)*$S$2</f>
        <v>0.89160156250000011</v>
      </c>
      <c r="D289" s="1">
        <f>(MOD(teraterm[[#This Row],[Column2]],4096)-Q$4)*$S$3*1000</f>
        <v>-146.484375</v>
      </c>
      <c r="E289" s="1">
        <f>IF(ABS(VALUE(teraterm[[#This Row],[Column1]]))&lt;4095,VALUE(teraterm[[#This Row],[Column1]]),0)</f>
        <v>0</v>
      </c>
      <c r="F289" s="1">
        <f>teraterm[[#This Row],[V(V)]]^2</f>
        <v>0.79495334625244163</v>
      </c>
    </row>
    <row r="290" spans="3:6" x14ac:dyDescent="0.25">
      <c r="C290" s="1">
        <f>(teraterm[[#This Row],[Value(V)]]+$K$2)*$S$2</f>
        <v>0.89160156250000011</v>
      </c>
      <c r="D290" s="1">
        <f>(MOD(teraterm[[#This Row],[Column2]],4096)-Q$4)*$S$3*1000</f>
        <v>-146.484375</v>
      </c>
      <c r="E290" s="1">
        <f>IF(ABS(VALUE(teraterm[[#This Row],[Column1]]))&lt;4095,VALUE(teraterm[[#This Row],[Column1]]),0)</f>
        <v>0</v>
      </c>
      <c r="F290" s="1">
        <f>teraterm[[#This Row],[V(V)]]^2</f>
        <v>0.79495334625244163</v>
      </c>
    </row>
    <row r="291" spans="3:6" x14ac:dyDescent="0.25">
      <c r="C291" s="1">
        <f>(teraterm[[#This Row],[Value(V)]]+$K$2)*$S$2</f>
        <v>0.89160156250000011</v>
      </c>
      <c r="D291" s="1">
        <f>(MOD(teraterm[[#This Row],[Column2]],4096)-Q$4)*$S$3*1000</f>
        <v>-146.484375</v>
      </c>
      <c r="E291" s="1">
        <f>IF(ABS(VALUE(teraterm[[#This Row],[Column1]]))&lt;4095,VALUE(teraterm[[#This Row],[Column1]]),0)</f>
        <v>0</v>
      </c>
      <c r="F291" s="1">
        <f>teraterm[[#This Row],[V(V)]]^2</f>
        <v>0.79495334625244163</v>
      </c>
    </row>
    <row r="292" spans="3:6" x14ac:dyDescent="0.25">
      <c r="C292" s="1">
        <f>(teraterm[[#This Row],[Value(V)]]+$K$2)*$S$2</f>
        <v>0.89160156250000011</v>
      </c>
      <c r="D292" s="1">
        <f>(MOD(teraterm[[#This Row],[Column2]],4096)-Q$4)*$S$3*1000</f>
        <v>-146.484375</v>
      </c>
      <c r="E292" s="1">
        <f>IF(ABS(VALUE(teraterm[[#This Row],[Column1]]))&lt;4095,VALUE(teraterm[[#This Row],[Column1]]),0)</f>
        <v>0</v>
      </c>
      <c r="F292" s="1">
        <f>teraterm[[#This Row],[V(V)]]^2</f>
        <v>0.79495334625244163</v>
      </c>
    </row>
    <row r="293" spans="3:6" x14ac:dyDescent="0.25">
      <c r="C293" s="1">
        <f>(teraterm[[#This Row],[Value(V)]]+$K$2)*$S$2</f>
        <v>0.89160156250000011</v>
      </c>
      <c r="D293" s="1">
        <f>(MOD(teraterm[[#This Row],[Column2]],4096)-Q$4)*$S$3*1000</f>
        <v>-146.484375</v>
      </c>
      <c r="E293" s="1">
        <f>IF(ABS(VALUE(teraterm[[#This Row],[Column1]]))&lt;4095,VALUE(teraterm[[#This Row],[Column1]]),0)</f>
        <v>0</v>
      </c>
      <c r="F293" s="1">
        <f>teraterm[[#This Row],[V(V)]]^2</f>
        <v>0.79495334625244163</v>
      </c>
    </row>
    <row r="294" spans="3:6" x14ac:dyDescent="0.25">
      <c r="C294" s="1">
        <f>(teraterm[[#This Row],[Value(V)]]+$K$2)*$S$2</f>
        <v>0.89160156250000011</v>
      </c>
      <c r="D294" s="1">
        <f>(MOD(teraterm[[#This Row],[Column2]],4096)-Q$4)*$S$3*1000</f>
        <v>-146.484375</v>
      </c>
      <c r="E294" s="1">
        <f>IF(ABS(VALUE(teraterm[[#This Row],[Column1]]))&lt;4095,VALUE(teraterm[[#This Row],[Column1]]),0)</f>
        <v>0</v>
      </c>
      <c r="F294" s="1">
        <f>teraterm[[#This Row],[V(V)]]^2</f>
        <v>0.79495334625244163</v>
      </c>
    </row>
    <row r="295" spans="3:6" x14ac:dyDescent="0.25">
      <c r="C295" s="1">
        <f>(teraterm[[#This Row],[Value(V)]]+$K$2)*$S$2</f>
        <v>0.89160156250000011</v>
      </c>
      <c r="D295" s="1">
        <f>(MOD(teraterm[[#This Row],[Column2]],4096)-Q$4)*$S$3*1000</f>
        <v>-146.484375</v>
      </c>
      <c r="E295" s="1">
        <f>IF(ABS(VALUE(teraterm[[#This Row],[Column1]]))&lt;4095,VALUE(teraterm[[#This Row],[Column1]]),0)</f>
        <v>0</v>
      </c>
      <c r="F295" s="1">
        <f>teraterm[[#This Row],[V(V)]]^2</f>
        <v>0.79495334625244163</v>
      </c>
    </row>
    <row r="296" spans="3:6" x14ac:dyDescent="0.25">
      <c r="C296" s="1">
        <f>(teraterm[[#This Row],[Value(V)]]+$K$2)*$S$2</f>
        <v>0.89160156250000011</v>
      </c>
      <c r="D296" s="1">
        <f>(MOD(teraterm[[#This Row],[Column2]],4096)-Q$4)*$S$3*1000</f>
        <v>-146.484375</v>
      </c>
      <c r="E296" s="1">
        <f>IF(ABS(VALUE(teraterm[[#This Row],[Column1]]))&lt;4095,VALUE(teraterm[[#This Row],[Column1]]),0)</f>
        <v>0</v>
      </c>
      <c r="F296" s="1">
        <f>teraterm[[#This Row],[V(V)]]^2</f>
        <v>0.79495334625244163</v>
      </c>
    </row>
    <row r="297" spans="3:6" x14ac:dyDescent="0.25">
      <c r="C297" s="1">
        <f>(teraterm[[#This Row],[Value(V)]]+$K$2)*$S$2</f>
        <v>0.89160156250000011</v>
      </c>
      <c r="D297" s="1">
        <f>(MOD(teraterm[[#This Row],[Column2]],4096)-Q$4)*$S$3*1000</f>
        <v>-146.484375</v>
      </c>
      <c r="E297" s="1">
        <f>IF(ABS(VALUE(teraterm[[#This Row],[Column1]]))&lt;4095,VALUE(teraterm[[#This Row],[Column1]]),0)</f>
        <v>0</v>
      </c>
      <c r="F297" s="1">
        <f>teraterm[[#This Row],[V(V)]]^2</f>
        <v>0.79495334625244163</v>
      </c>
    </row>
    <row r="298" spans="3:6" x14ac:dyDescent="0.25">
      <c r="C298" s="1">
        <f>(teraterm[[#This Row],[Value(V)]]+$K$2)*$S$2</f>
        <v>0.89160156250000011</v>
      </c>
      <c r="D298" s="1">
        <f>(MOD(teraterm[[#This Row],[Column2]],4096)-Q$4)*$S$3*1000</f>
        <v>-146.484375</v>
      </c>
      <c r="E298" s="1">
        <f>IF(ABS(VALUE(teraterm[[#This Row],[Column1]]))&lt;4095,VALUE(teraterm[[#This Row],[Column1]]),0)</f>
        <v>0</v>
      </c>
      <c r="F298" s="1">
        <f>teraterm[[#This Row],[V(V)]]^2</f>
        <v>0.79495334625244163</v>
      </c>
    </row>
    <row r="299" spans="3:6" x14ac:dyDescent="0.25">
      <c r="C299" s="1">
        <f>(teraterm[[#This Row],[Value(V)]]+$K$2)*$S$2</f>
        <v>0.89160156250000011</v>
      </c>
      <c r="D299" s="1">
        <f>(MOD(teraterm[[#This Row],[Column2]],4096)-Q$4)*$S$3*1000</f>
        <v>-146.484375</v>
      </c>
      <c r="E299" s="1">
        <f>IF(ABS(VALUE(teraterm[[#This Row],[Column1]]))&lt;4095,VALUE(teraterm[[#This Row],[Column1]]),0)</f>
        <v>0</v>
      </c>
      <c r="F299" s="1">
        <f>teraterm[[#This Row],[V(V)]]^2</f>
        <v>0.79495334625244163</v>
      </c>
    </row>
    <row r="300" spans="3:6" x14ac:dyDescent="0.25">
      <c r="C300" s="1">
        <f>(teraterm[[#This Row],[Value(V)]]+$K$2)*$S$2</f>
        <v>0.89160156250000011</v>
      </c>
      <c r="D300" s="1">
        <f>(MOD(teraterm[[#This Row],[Column2]],4096)-Q$4)*$S$3*1000</f>
        <v>-146.484375</v>
      </c>
      <c r="E300" s="1">
        <f>IF(ABS(VALUE(teraterm[[#This Row],[Column1]]))&lt;4095,VALUE(teraterm[[#This Row],[Column1]]),0)</f>
        <v>0</v>
      </c>
      <c r="F300" s="1">
        <f>teraterm[[#This Row],[V(V)]]^2</f>
        <v>0.79495334625244163</v>
      </c>
    </row>
    <row r="301" spans="3:6" x14ac:dyDescent="0.25">
      <c r="C301" s="1">
        <f>(teraterm[[#This Row],[Value(V)]]+$K$2)*$S$2</f>
        <v>0.89160156250000011</v>
      </c>
      <c r="D301" s="1">
        <f>(MOD(teraterm[[#This Row],[Column2]],4096)-Q$4)*$S$3*1000</f>
        <v>-146.484375</v>
      </c>
      <c r="E301" s="1">
        <f>IF(ABS(VALUE(teraterm[[#This Row],[Column1]]))&lt;4095,VALUE(teraterm[[#This Row],[Column1]]),0)</f>
        <v>0</v>
      </c>
      <c r="F301" s="1">
        <f>teraterm[[#This Row],[V(V)]]^2</f>
        <v>0.79495334625244163</v>
      </c>
    </row>
    <row r="302" spans="3:6" x14ac:dyDescent="0.25">
      <c r="C302" s="1">
        <f>(teraterm[[#This Row],[Value(V)]]+$K$2)*$S$2</f>
        <v>0.89160156250000011</v>
      </c>
      <c r="D302" s="1">
        <f>(MOD(teraterm[[#This Row],[Column2]],4096)-Q$4)*$S$3*1000</f>
        <v>-146.484375</v>
      </c>
      <c r="E302" s="1">
        <f>IF(ABS(VALUE(teraterm[[#This Row],[Column1]]))&lt;4095,VALUE(teraterm[[#This Row],[Column1]]),0)</f>
        <v>0</v>
      </c>
      <c r="F302" s="1">
        <f>teraterm[[#This Row],[V(V)]]^2</f>
        <v>0.79495334625244163</v>
      </c>
    </row>
    <row r="303" spans="3:6" x14ac:dyDescent="0.25">
      <c r="C303" s="1">
        <f>(teraterm[[#This Row],[Value(V)]]+$K$2)*$S$2</f>
        <v>0.89160156250000011</v>
      </c>
      <c r="D303" s="1">
        <f>(MOD(teraterm[[#This Row],[Column2]],4096)-Q$4)*$S$3*1000</f>
        <v>-146.484375</v>
      </c>
      <c r="E303" s="1">
        <f>IF(ABS(VALUE(teraterm[[#This Row],[Column1]]))&lt;4095,VALUE(teraterm[[#This Row],[Column1]]),0)</f>
        <v>0</v>
      </c>
      <c r="F303" s="1">
        <f>teraterm[[#This Row],[V(V)]]^2</f>
        <v>0.79495334625244163</v>
      </c>
    </row>
    <row r="304" spans="3:6" x14ac:dyDescent="0.25">
      <c r="C304" s="1">
        <f>(teraterm[[#This Row],[Value(V)]]+$K$2)*$S$2</f>
        <v>0.89160156250000011</v>
      </c>
      <c r="D304" s="1">
        <f>(MOD(teraterm[[#This Row],[Column2]],4096)-Q$4)*$S$3*1000</f>
        <v>-146.484375</v>
      </c>
      <c r="E304" s="1">
        <f>IF(ABS(VALUE(teraterm[[#This Row],[Column1]]))&lt;4095,VALUE(teraterm[[#This Row],[Column1]]),0)</f>
        <v>0</v>
      </c>
      <c r="F304" s="1">
        <f>teraterm[[#This Row],[V(V)]]^2</f>
        <v>0.79495334625244163</v>
      </c>
    </row>
    <row r="305" spans="3:6" x14ac:dyDescent="0.25">
      <c r="C305" s="1">
        <f>(teraterm[[#This Row],[Value(V)]]+$K$2)*$S$2</f>
        <v>0.89160156250000011</v>
      </c>
      <c r="D305" s="1">
        <f>(MOD(teraterm[[#This Row],[Column2]],4096)-Q$4)*$S$3*1000</f>
        <v>-146.484375</v>
      </c>
      <c r="E305" s="1">
        <f>IF(ABS(VALUE(teraterm[[#This Row],[Column1]]))&lt;4095,VALUE(teraterm[[#This Row],[Column1]]),0)</f>
        <v>0</v>
      </c>
      <c r="F305" s="1">
        <f>teraterm[[#This Row],[V(V)]]^2</f>
        <v>0.79495334625244163</v>
      </c>
    </row>
    <row r="306" spans="3:6" x14ac:dyDescent="0.25">
      <c r="C306" s="1">
        <f>(teraterm[[#This Row],[Value(V)]]+$K$2)*$S$2</f>
        <v>0.89160156250000011</v>
      </c>
      <c r="D306" s="1">
        <f>(MOD(teraterm[[#This Row],[Column2]],4096)-Q$4)*$S$3*1000</f>
        <v>-146.484375</v>
      </c>
      <c r="E306" s="1">
        <f>IF(ABS(VALUE(teraterm[[#This Row],[Column1]]))&lt;4095,VALUE(teraterm[[#This Row],[Column1]]),0)</f>
        <v>0</v>
      </c>
      <c r="F306" s="1">
        <f>teraterm[[#This Row],[V(V)]]^2</f>
        <v>0.79495334625244163</v>
      </c>
    </row>
    <row r="307" spans="3:6" x14ac:dyDescent="0.25">
      <c r="C307" s="1">
        <f>(teraterm[[#This Row],[Value(V)]]+$K$2)*$S$2</f>
        <v>0.89160156250000011</v>
      </c>
      <c r="D307" s="1">
        <f>(MOD(teraterm[[#This Row],[Column2]],4096)-Q$4)*$S$3*1000</f>
        <v>-146.484375</v>
      </c>
      <c r="E307" s="1">
        <f>IF(ABS(VALUE(teraterm[[#This Row],[Column1]]))&lt;4095,VALUE(teraterm[[#This Row],[Column1]]),0)</f>
        <v>0</v>
      </c>
      <c r="F307" s="1">
        <f>teraterm[[#This Row],[V(V)]]^2</f>
        <v>0.79495334625244163</v>
      </c>
    </row>
    <row r="308" spans="3:6" x14ac:dyDescent="0.25">
      <c r="C308" s="1">
        <f>(teraterm[[#This Row],[Value(V)]]+$K$2)*$S$2</f>
        <v>0.89160156250000011</v>
      </c>
      <c r="D308" s="1">
        <f>(MOD(teraterm[[#This Row],[Column2]],4096)-Q$4)*$S$3*1000</f>
        <v>-146.484375</v>
      </c>
      <c r="E308" s="1">
        <f>IF(ABS(VALUE(teraterm[[#This Row],[Column1]]))&lt;4095,VALUE(teraterm[[#This Row],[Column1]]),0)</f>
        <v>0</v>
      </c>
      <c r="F308" s="1">
        <f>teraterm[[#This Row],[V(V)]]^2</f>
        <v>0.79495334625244163</v>
      </c>
    </row>
    <row r="309" spans="3:6" x14ac:dyDescent="0.25">
      <c r="C309" s="1">
        <f>(teraterm[[#This Row],[Value(V)]]+$K$2)*$S$2</f>
        <v>0.89160156250000011</v>
      </c>
      <c r="D309" s="1">
        <f>(MOD(teraterm[[#This Row],[Column2]],4096)-Q$4)*$S$3*1000</f>
        <v>-146.484375</v>
      </c>
      <c r="E309" s="1">
        <f>IF(ABS(VALUE(teraterm[[#This Row],[Column1]]))&lt;4095,VALUE(teraterm[[#This Row],[Column1]]),0)</f>
        <v>0</v>
      </c>
      <c r="F309" s="1">
        <f>teraterm[[#This Row],[V(V)]]^2</f>
        <v>0.79495334625244163</v>
      </c>
    </row>
    <row r="310" spans="3:6" x14ac:dyDescent="0.25">
      <c r="C310" s="1">
        <f>(teraterm[[#This Row],[Value(V)]]+$K$2)*$S$2</f>
        <v>0.89160156250000011</v>
      </c>
      <c r="D310" s="1">
        <f>(MOD(teraterm[[#This Row],[Column2]],4096)-Q$4)*$S$3*1000</f>
        <v>-146.484375</v>
      </c>
      <c r="E310" s="1">
        <f>IF(ABS(VALUE(teraterm[[#This Row],[Column1]]))&lt;4095,VALUE(teraterm[[#This Row],[Column1]]),0)</f>
        <v>0</v>
      </c>
      <c r="F310" s="1">
        <f>teraterm[[#This Row],[V(V)]]^2</f>
        <v>0.79495334625244163</v>
      </c>
    </row>
    <row r="311" spans="3:6" x14ac:dyDescent="0.25">
      <c r="C311" s="1">
        <f>(teraterm[[#This Row],[Value(V)]]+$K$2)*$S$2</f>
        <v>0.89160156250000011</v>
      </c>
      <c r="D311" s="1">
        <f>(MOD(teraterm[[#This Row],[Column2]],4096)-Q$4)*$S$3*1000</f>
        <v>-146.484375</v>
      </c>
      <c r="E311" s="1">
        <f>IF(ABS(VALUE(teraterm[[#This Row],[Column1]]))&lt;4095,VALUE(teraterm[[#This Row],[Column1]]),0)</f>
        <v>0</v>
      </c>
      <c r="F311" s="1">
        <f>teraterm[[#This Row],[V(V)]]^2</f>
        <v>0.79495334625244163</v>
      </c>
    </row>
    <row r="312" spans="3:6" x14ac:dyDescent="0.25">
      <c r="C312" s="1">
        <f>(teraterm[[#This Row],[Value(V)]]+$K$2)*$S$2</f>
        <v>0.89160156250000011</v>
      </c>
      <c r="D312" s="1">
        <f>(MOD(teraterm[[#This Row],[Column2]],4096)-Q$4)*$S$3*1000</f>
        <v>-146.484375</v>
      </c>
      <c r="E312" s="1">
        <f>IF(ABS(VALUE(teraterm[[#This Row],[Column1]]))&lt;4095,VALUE(teraterm[[#This Row],[Column1]]),0)</f>
        <v>0</v>
      </c>
      <c r="F312" s="1">
        <f>teraterm[[#This Row],[V(V)]]^2</f>
        <v>0.79495334625244163</v>
      </c>
    </row>
    <row r="313" spans="3:6" x14ac:dyDescent="0.25">
      <c r="C313" s="1">
        <f>(teraterm[[#This Row],[Value(V)]]+$K$2)*$S$2</f>
        <v>0.89160156250000011</v>
      </c>
      <c r="D313" s="1">
        <f>(MOD(teraterm[[#This Row],[Column2]],4096)-Q$4)*$S$3*1000</f>
        <v>-146.484375</v>
      </c>
      <c r="E313" s="1">
        <f>IF(ABS(VALUE(teraterm[[#This Row],[Column1]]))&lt;4095,VALUE(teraterm[[#This Row],[Column1]]),0)</f>
        <v>0</v>
      </c>
      <c r="F313" s="1">
        <f>teraterm[[#This Row],[V(V)]]^2</f>
        <v>0.79495334625244163</v>
      </c>
    </row>
    <row r="314" spans="3:6" x14ac:dyDescent="0.25">
      <c r="C314" s="1">
        <f>(teraterm[[#This Row],[Value(V)]]+$K$2)*$S$2</f>
        <v>0.89160156250000011</v>
      </c>
      <c r="D314" s="1">
        <f>(MOD(teraterm[[#This Row],[Column2]],4096)-Q$4)*$S$3*1000</f>
        <v>-146.484375</v>
      </c>
      <c r="E314" s="1">
        <f>IF(ABS(VALUE(teraterm[[#This Row],[Column1]]))&lt;4095,VALUE(teraterm[[#This Row],[Column1]]),0)</f>
        <v>0</v>
      </c>
      <c r="F314" s="1">
        <f>teraterm[[#This Row],[V(V)]]^2</f>
        <v>0.79495334625244163</v>
      </c>
    </row>
    <row r="315" spans="3:6" x14ac:dyDescent="0.25">
      <c r="C315" s="1">
        <f>(teraterm[[#This Row],[Value(V)]]+$K$2)*$S$2</f>
        <v>0.89160156250000011</v>
      </c>
      <c r="D315" s="1">
        <f>(MOD(teraterm[[#This Row],[Column2]],4096)-Q$4)*$S$3*1000</f>
        <v>-146.484375</v>
      </c>
      <c r="E315" s="1">
        <f>IF(ABS(VALUE(teraterm[[#This Row],[Column1]]))&lt;4095,VALUE(teraterm[[#This Row],[Column1]]),0)</f>
        <v>0</v>
      </c>
      <c r="F315" s="1">
        <f>teraterm[[#This Row],[V(V)]]^2</f>
        <v>0.79495334625244163</v>
      </c>
    </row>
    <row r="316" spans="3:6" x14ac:dyDescent="0.25">
      <c r="C316" s="1">
        <f>(teraterm[[#This Row],[Value(V)]]+$K$2)*$S$2</f>
        <v>0.89160156250000011</v>
      </c>
      <c r="D316" s="1">
        <f>(MOD(teraterm[[#This Row],[Column2]],4096)-Q$4)*$S$3*1000</f>
        <v>-146.484375</v>
      </c>
      <c r="E316" s="1">
        <f>IF(ABS(VALUE(teraterm[[#This Row],[Column1]]))&lt;4095,VALUE(teraterm[[#This Row],[Column1]]),0)</f>
        <v>0</v>
      </c>
      <c r="F316" s="1">
        <f>teraterm[[#This Row],[V(V)]]^2</f>
        <v>0.79495334625244163</v>
      </c>
    </row>
    <row r="317" spans="3:6" x14ac:dyDescent="0.25">
      <c r="C317" s="1">
        <f>(teraterm[[#This Row],[Value(V)]]+$K$2)*$S$2</f>
        <v>0.89160156250000011</v>
      </c>
      <c r="D317" s="1">
        <f>(MOD(teraterm[[#This Row],[Column2]],4096)-Q$4)*$S$3*1000</f>
        <v>-146.484375</v>
      </c>
      <c r="E317" s="1">
        <f>IF(ABS(VALUE(teraterm[[#This Row],[Column1]]))&lt;4095,VALUE(teraterm[[#This Row],[Column1]]),0)</f>
        <v>0</v>
      </c>
      <c r="F317" s="1">
        <f>teraterm[[#This Row],[V(V)]]^2</f>
        <v>0.79495334625244163</v>
      </c>
    </row>
    <row r="318" spans="3:6" x14ac:dyDescent="0.25">
      <c r="C318" s="1">
        <f>(teraterm[[#This Row],[Value(V)]]+$K$2)*$S$2</f>
        <v>0.89160156250000011</v>
      </c>
      <c r="D318" s="1">
        <f>(MOD(teraterm[[#This Row],[Column2]],4096)-Q$4)*$S$3*1000</f>
        <v>-146.484375</v>
      </c>
      <c r="E318" s="1">
        <f>IF(ABS(VALUE(teraterm[[#This Row],[Column1]]))&lt;4095,VALUE(teraterm[[#This Row],[Column1]]),0)</f>
        <v>0</v>
      </c>
      <c r="F318" s="1">
        <f>teraterm[[#This Row],[V(V)]]^2</f>
        <v>0.79495334625244163</v>
      </c>
    </row>
    <row r="319" spans="3:6" x14ac:dyDescent="0.25">
      <c r="C319" s="1">
        <f>(teraterm[[#This Row],[Value(V)]]+$K$2)*$S$2</f>
        <v>0.89160156250000011</v>
      </c>
      <c r="D319" s="1">
        <f>(MOD(teraterm[[#This Row],[Column2]],4096)-Q$4)*$S$3*1000</f>
        <v>-146.484375</v>
      </c>
      <c r="E319" s="1">
        <f>IF(ABS(VALUE(teraterm[[#This Row],[Column1]]))&lt;4095,VALUE(teraterm[[#This Row],[Column1]]),0)</f>
        <v>0</v>
      </c>
      <c r="F319" s="1">
        <f>teraterm[[#This Row],[V(V)]]^2</f>
        <v>0.79495334625244163</v>
      </c>
    </row>
    <row r="320" spans="3:6" x14ac:dyDescent="0.25">
      <c r="C320" s="1">
        <f>(teraterm[[#This Row],[Value(V)]]+$K$2)*$S$2</f>
        <v>0.89160156250000011</v>
      </c>
      <c r="D320" s="1">
        <f>(MOD(teraterm[[#This Row],[Column2]],4096)-Q$4)*$S$3*1000</f>
        <v>-146.484375</v>
      </c>
      <c r="E320" s="1">
        <f>IF(ABS(VALUE(teraterm[[#This Row],[Column1]]))&lt;4095,VALUE(teraterm[[#This Row],[Column1]]),0)</f>
        <v>0</v>
      </c>
      <c r="F320" s="1">
        <f>teraterm[[#This Row],[V(V)]]^2</f>
        <v>0.79495334625244163</v>
      </c>
    </row>
    <row r="321" spans="3:6" x14ac:dyDescent="0.25">
      <c r="C321" s="1">
        <f>(teraterm[[#This Row],[Value(V)]]+$K$2)*$S$2</f>
        <v>0.89160156250000011</v>
      </c>
      <c r="D321" s="1">
        <f>(MOD(teraterm[[#This Row],[Column2]],4096)-Q$4)*$S$3*1000</f>
        <v>-146.484375</v>
      </c>
      <c r="E321" s="1">
        <f>IF(ABS(VALUE(teraterm[[#This Row],[Column1]]))&lt;4095,VALUE(teraterm[[#This Row],[Column1]]),0)</f>
        <v>0</v>
      </c>
      <c r="F321" s="1">
        <f>teraterm[[#This Row],[V(V)]]^2</f>
        <v>0.79495334625244163</v>
      </c>
    </row>
    <row r="322" spans="3:6" x14ac:dyDescent="0.25">
      <c r="C322" s="1">
        <f>(teraterm[[#This Row],[Value(V)]]+$K$2)*$S$2</f>
        <v>0.89160156250000011</v>
      </c>
      <c r="D322" s="1">
        <f>(MOD(teraterm[[#This Row],[Column2]],4096)-Q$4)*$S$3*1000</f>
        <v>-146.484375</v>
      </c>
      <c r="E322" s="1">
        <f>IF(ABS(VALUE(teraterm[[#This Row],[Column1]]))&lt;4095,VALUE(teraterm[[#This Row],[Column1]]),0)</f>
        <v>0</v>
      </c>
      <c r="F322" s="1">
        <f>teraterm[[#This Row],[V(V)]]^2</f>
        <v>0.79495334625244163</v>
      </c>
    </row>
    <row r="323" spans="3:6" x14ac:dyDescent="0.25">
      <c r="C323" s="1">
        <f>(teraterm[[#This Row],[Value(V)]]+$K$2)*$S$2</f>
        <v>0.89160156250000011</v>
      </c>
      <c r="D323" s="1">
        <f>(MOD(teraterm[[#This Row],[Column2]],4096)-Q$4)*$S$3*1000</f>
        <v>-146.484375</v>
      </c>
      <c r="E323" s="1">
        <f>IF(ABS(VALUE(teraterm[[#This Row],[Column1]]))&lt;4095,VALUE(teraterm[[#This Row],[Column1]]),0)</f>
        <v>0</v>
      </c>
      <c r="F323" s="1">
        <f>teraterm[[#This Row],[V(V)]]^2</f>
        <v>0.79495334625244163</v>
      </c>
    </row>
    <row r="324" spans="3:6" x14ac:dyDescent="0.25">
      <c r="C324" s="1">
        <f>(teraterm[[#This Row],[Value(V)]]+$K$2)*$S$2</f>
        <v>0.89160156250000011</v>
      </c>
      <c r="D324" s="1">
        <f>(MOD(teraterm[[#This Row],[Column2]],4096)-Q$4)*$S$3*1000</f>
        <v>-146.484375</v>
      </c>
      <c r="E324" s="1">
        <f>IF(ABS(VALUE(teraterm[[#This Row],[Column1]]))&lt;4095,VALUE(teraterm[[#This Row],[Column1]]),0)</f>
        <v>0</v>
      </c>
      <c r="F324" s="1">
        <f>teraterm[[#This Row],[V(V)]]^2</f>
        <v>0.79495334625244163</v>
      </c>
    </row>
    <row r="325" spans="3:6" x14ac:dyDescent="0.25">
      <c r="C325" s="1">
        <f>(teraterm[[#This Row],[Value(V)]]+$K$2)*$S$2</f>
        <v>0.89160156250000011</v>
      </c>
      <c r="D325" s="1">
        <f>(MOD(teraterm[[#This Row],[Column2]],4096)-Q$4)*$S$3*1000</f>
        <v>-146.484375</v>
      </c>
      <c r="E325" s="1">
        <f>IF(ABS(VALUE(teraterm[[#This Row],[Column1]]))&lt;4095,VALUE(teraterm[[#This Row],[Column1]]),0)</f>
        <v>0</v>
      </c>
      <c r="F325" s="1">
        <f>teraterm[[#This Row],[V(V)]]^2</f>
        <v>0.79495334625244163</v>
      </c>
    </row>
    <row r="326" spans="3:6" x14ac:dyDescent="0.25">
      <c r="C326" s="1">
        <f>(teraterm[[#This Row],[Value(V)]]+$K$2)*$S$2</f>
        <v>0.89160156250000011</v>
      </c>
      <c r="D326" s="1">
        <f>(MOD(teraterm[[#This Row],[Column2]],4096)-Q$4)*$S$3*1000</f>
        <v>-146.484375</v>
      </c>
      <c r="E326" s="1">
        <f>IF(ABS(VALUE(teraterm[[#This Row],[Column1]]))&lt;4095,VALUE(teraterm[[#This Row],[Column1]]),0)</f>
        <v>0</v>
      </c>
      <c r="F326" s="1">
        <f>teraterm[[#This Row],[V(V)]]^2</f>
        <v>0.79495334625244163</v>
      </c>
    </row>
    <row r="327" spans="3:6" x14ac:dyDescent="0.25">
      <c r="C327" s="1">
        <f>(teraterm[[#This Row],[Value(V)]]+$K$2)*$S$2</f>
        <v>0.89160156250000011</v>
      </c>
      <c r="D327" s="1">
        <f>(MOD(teraterm[[#This Row],[Column2]],4096)-Q$4)*$S$3*1000</f>
        <v>-146.484375</v>
      </c>
      <c r="E327" s="1">
        <f>IF(ABS(VALUE(teraterm[[#This Row],[Column1]]))&lt;4095,VALUE(teraterm[[#This Row],[Column1]]),0)</f>
        <v>0</v>
      </c>
      <c r="F327" s="1">
        <f>teraterm[[#This Row],[V(V)]]^2</f>
        <v>0.79495334625244163</v>
      </c>
    </row>
    <row r="328" spans="3:6" x14ac:dyDescent="0.25">
      <c r="C328" s="1">
        <f>(teraterm[[#This Row],[Value(V)]]+$K$2)*$S$2</f>
        <v>0.89160156250000011</v>
      </c>
      <c r="D328" s="1">
        <f>(MOD(teraterm[[#This Row],[Column2]],4096)-Q$4)*$S$3*1000</f>
        <v>-146.484375</v>
      </c>
      <c r="E328" s="1">
        <f>IF(ABS(VALUE(teraterm[[#This Row],[Column1]]))&lt;4095,VALUE(teraterm[[#This Row],[Column1]]),0)</f>
        <v>0</v>
      </c>
      <c r="F328" s="1">
        <f>teraterm[[#This Row],[V(V)]]^2</f>
        <v>0.79495334625244163</v>
      </c>
    </row>
    <row r="329" spans="3:6" x14ac:dyDescent="0.25">
      <c r="C329" s="1">
        <f>(teraterm[[#This Row],[Value(V)]]+$K$2)*$S$2</f>
        <v>0.89160156250000011</v>
      </c>
      <c r="D329" s="1">
        <f>(MOD(teraterm[[#This Row],[Column2]],4096)-Q$4)*$S$3*1000</f>
        <v>-146.484375</v>
      </c>
      <c r="E329" s="1">
        <f>IF(ABS(VALUE(teraterm[[#This Row],[Column1]]))&lt;4095,VALUE(teraterm[[#This Row],[Column1]]),0)</f>
        <v>0</v>
      </c>
      <c r="F329" s="1">
        <f>teraterm[[#This Row],[V(V)]]^2</f>
        <v>0.79495334625244163</v>
      </c>
    </row>
    <row r="330" spans="3:6" x14ac:dyDescent="0.25">
      <c r="C330" s="1">
        <f>(teraterm[[#This Row],[Value(V)]]+$K$2)*$S$2</f>
        <v>0.89160156250000011</v>
      </c>
      <c r="D330" s="1">
        <f>(MOD(teraterm[[#This Row],[Column2]],4096)-Q$4)*$S$3*1000</f>
        <v>-146.484375</v>
      </c>
      <c r="E330" s="1">
        <f>IF(ABS(VALUE(teraterm[[#This Row],[Column1]]))&lt;4095,VALUE(teraterm[[#This Row],[Column1]]),0)</f>
        <v>0</v>
      </c>
      <c r="F330" s="1">
        <f>teraterm[[#This Row],[V(V)]]^2</f>
        <v>0.79495334625244163</v>
      </c>
    </row>
    <row r="331" spans="3:6" x14ac:dyDescent="0.25">
      <c r="C331" s="1">
        <f>(teraterm[[#This Row],[Value(V)]]+$K$2)*$S$2</f>
        <v>0.89160156250000011</v>
      </c>
      <c r="D331" s="1">
        <f>(MOD(teraterm[[#This Row],[Column2]],4096)-Q$4)*$S$3*1000</f>
        <v>-146.484375</v>
      </c>
      <c r="E331" s="1">
        <f>IF(ABS(VALUE(teraterm[[#This Row],[Column1]]))&lt;4095,VALUE(teraterm[[#This Row],[Column1]]),0)</f>
        <v>0</v>
      </c>
      <c r="F331" s="1">
        <f>teraterm[[#This Row],[V(V)]]^2</f>
        <v>0.79495334625244163</v>
      </c>
    </row>
    <row r="332" spans="3:6" x14ac:dyDescent="0.25">
      <c r="C332" s="1">
        <f>(teraterm[[#This Row],[Value(V)]]+$K$2)*$S$2</f>
        <v>0.89160156250000011</v>
      </c>
      <c r="D332" s="1">
        <f>(MOD(teraterm[[#This Row],[Column2]],4096)-Q$4)*$S$3*1000</f>
        <v>-146.484375</v>
      </c>
      <c r="E332" s="1">
        <f>IF(ABS(VALUE(teraterm[[#This Row],[Column1]]))&lt;4095,VALUE(teraterm[[#This Row],[Column1]]),0)</f>
        <v>0</v>
      </c>
      <c r="F332" s="1">
        <f>teraterm[[#This Row],[V(V)]]^2</f>
        <v>0.79495334625244163</v>
      </c>
    </row>
    <row r="333" spans="3:6" x14ac:dyDescent="0.25">
      <c r="C333" s="1">
        <f>(teraterm[[#This Row],[Value(V)]]+$K$2)*$S$2</f>
        <v>0.89160156250000011</v>
      </c>
      <c r="D333" s="1">
        <f>(MOD(teraterm[[#This Row],[Column2]],4096)-Q$4)*$S$3*1000</f>
        <v>-146.484375</v>
      </c>
      <c r="E333" s="1">
        <f>IF(ABS(VALUE(teraterm[[#This Row],[Column1]]))&lt;4095,VALUE(teraterm[[#This Row],[Column1]]),0)</f>
        <v>0</v>
      </c>
      <c r="F333" s="1">
        <f>teraterm[[#This Row],[V(V)]]^2</f>
        <v>0.79495334625244163</v>
      </c>
    </row>
    <row r="334" spans="3:6" x14ac:dyDescent="0.25">
      <c r="C334" s="1">
        <f>(teraterm[[#This Row],[Value(V)]]+$K$2)*$S$2</f>
        <v>0.89160156250000011</v>
      </c>
      <c r="D334" s="1">
        <f>(MOD(teraterm[[#This Row],[Column2]],4096)-Q$4)*$S$3*1000</f>
        <v>-146.484375</v>
      </c>
      <c r="E334" s="1">
        <f>IF(ABS(VALUE(teraterm[[#This Row],[Column1]]))&lt;4095,VALUE(teraterm[[#This Row],[Column1]]),0)</f>
        <v>0</v>
      </c>
      <c r="F334" s="1">
        <f>teraterm[[#This Row],[V(V)]]^2</f>
        <v>0.79495334625244163</v>
      </c>
    </row>
    <row r="335" spans="3:6" x14ac:dyDescent="0.25">
      <c r="C335" s="1">
        <f>(teraterm[[#This Row],[Value(V)]]+$K$2)*$S$2</f>
        <v>0.89160156250000011</v>
      </c>
      <c r="D335" s="1">
        <f>(MOD(teraterm[[#This Row],[Column2]],4096)-Q$4)*$S$3*1000</f>
        <v>-146.484375</v>
      </c>
      <c r="E335" s="1">
        <f>IF(ABS(VALUE(teraterm[[#This Row],[Column1]]))&lt;4095,VALUE(teraterm[[#This Row],[Column1]]),0)</f>
        <v>0</v>
      </c>
      <c r="F335" s="1">
        <f>teraterm[[#This Row],[V(V)]]^2</f>
        <v>0.79495334625244163</v>
      </c>
    </row>
    <row r="336" spans="3:6" x14ac:dyDescent="0.25">
      <c r="C336" s="1">
        <f>(teraterm[[#This Row],[Value(V)]]+$K$2)*$S$2</f>
        <v>0.89160156250000011</v>
      </c>
      <c r="D336" s="1">
        <f>(MOD(teraterm[[#This Row],[Column2]],4096)-Q$4)*$S$3*1000</f>
        <v>-146.484375</v>
      </c>
      <c r="E336" s="1">
        <f>IF(ABS(VALUE(teraterm[[#This Row],[Column1]]))&lt;4095,VALUE(teraterm[[#This Row],[Column1]]),0)</f>
        <v>0</v>
      </c>
      <c r="F336" s="1">
        <f>teraterm[[#This Row],[V(V)]]^2</f>
        <v>0.79495334625244163</v>
      </c>
    </row>
    <row r="337" spans="3:6" x14ac:dyDescent="0.25">
      <c r="C337" s="1">
        <f>(teraterm[[#This Row],[Value(V)]]+$K$2)*$S$2</f>
        <v>0.89160156250000011</v>
      </c>
      <c r="D337" s="1">
        <f>(MOD(teraterm[[#This Row],[Column2]],4096)-Q$4)*$S$3*1000</f>
        <v>-146.484375</v>
      </c>
      <c r="E337" s="1">
        <f>IF(ABS(VALUE(teraterm[[#This Row],[Column1]]))&lt;4095,VALUE(teraterm[[#This Row],[Column1]]),0)</f>
        <v>0</v>
      </c>
      <c r="F337" s="1">
        <f>teraterm[[#This Row],[V(V)]]^2</f>
        <v>0.79495334625244163</v>
      </c>
    </row>
    <row r="338" spans="3:6" x14ac:dyDescent="0.25">
      <c r="C338" s="1">
        <f>(teraterm[[#This Row],[Value(V)]]+$K$2)*$S$2</f>
        <v>0.89160156250000011</v>
      </c>
      <c r="D338" s="1">
        <f>(MOD(teraterm[[#This Row],[Column2]],4096)-Q$4)*$S$3*1000</f>
        <v>-146.484375</v>
      </c>
      <c r="E338" s="1">
        <f>IF(ABS(VALUE(teraterm[[#This Row],[Column1]]))&lt;4095,VALUE(teraterm[[#This Row],[Column1]]),0)</f>
        <v>0</v>
      </c>
      <c r="F338" s="1">
        <f>teraterm[[#This Row],[V(V)]]^2</f>
        <v>0.79495334625244163</v>
      </c>
    </row>
    <row r="339" spans="3:6" x14ac:dyDescent="0.25">
      <c r="C339" s="1">
        <f>(teraterm[[#This Row],[Value(V)]]+$K$2)*$S$2</f>
        <v>0.89160156250000011</v>
      </c>
      <c r="D339" s="1">
        <f>(MOD(teraterm[[#This Row],[Column2]],4096)-Q$4)*$S$3*1000</f>
        <v>-146.484375</v>
      </c>
      <c r="E339" s="1">
        <f>IF(ABS(VALUE(teraterm[[#This Row],[Column1]]))&lt;4095,VALUE(teraterm[[#This Row],[Column1]]),0)</f>
        <v>0</v>
      </c>
      <c r="F339" s="1">
        <f>teraterm[[#This Row],[V(V)]]^2</f>
        <v>0.79495334625244163</v>
      </c>
    </row>
    <row r="340" spans="3:6" x14ac:dyDescent="0.25">
      <c r="C340" s="1">
        <f>(teraterm[[#This Row],[Value(V)]]+$K$2)*$S$2</f>
        <v>0.89160156250000011</v>
      </c>
      <c r="D340" s="1">
        <f>(MOD(teraterm[[#This Row],[Column2]],4096)-Q$4)*$S$3*1000</f>
        <v>-146.484375</v>
      </c>
      <c r="E340" s="1">
        <f>IF(ABS(VALUE(teraterm[[#This Row],[Column1]]))&lt;4095,VALUE(teraterm[[#This Row],[Column1]]),0)</f>
        <v>0</v>
      </c>
      <c r="F340" s="1">
        <f>teraterm[[#This Row],[V(V)]]^2</f>
        <v>0.79495334625244163</v>
      </c>
    </row>
    <row r="341" spans="3:6" x14ac:dyDescent="0.25">
      <c r="C341" s="1">
        <f>(teraterm[[#This Row],[Value(V)]]+$K$2)*$S$2</f>
        <v>0.89160156250000011</v>
      </c>
      <c r="D341" s="1">
        <f>(MOD(teraterm[[#This Row],[Column2]],4096)-Q$4)*$S$3*1000</f>
        <v>-146.484375</v>
      </c>
      <c r="E341" s="1">
        <f>IF(ABS(VALUE(teraterm[[#This Row],[Column1]]))&lt;4095,VALUE(teraterm[[#This Row],[Column1]]),0)</f>
        <v>0</v>
      </c>
      <c r="F341" s="1">
        <f>teraterm[[#This Row],[V(V)]]^2</f>
        <v>0.79495334625244163</v>
      </c>
    </row>
    <row r="342" spans="3:6" x14ac:dyDescent="0.25">
      <c r="C342" s="1">
        <f>(teraterm[[#This Row],[Value(V)]]+$K$2)*$S$2</f>
        <v>0.89160156250000011</v>
      </c>
      <c r="D342" s="1">
        <f>(MOD(teraterm[[#This Row],[Column2]],4096)-Q$4)*$S$3*1000</f>
        <v>-146.484375</v>
      </c>
      <c r="E342" s="1">
        <f>IF(ABS(VALUE(teraterm[[#This Row],[Column1]]))&lt;4095,VALUE(teraterm[[#This Row],[Column1]]),0)</f>
        <v>0</v>
      </c>
      <c r="F342" s="1">
        <f>teraterm[[#This Row],[V(V)]]^2</f>
        <v>0.79495334625244163</v>
      </c>
    </row>
    <row r="343" spans="3:6" x14ac:dyDescent="0.25">
      <c r="C343" s="1">
        <f>(teraterm[[#This Row],[Value(V)]]+$K$2)*$S$2</f>
        <v>0.89160156250000011</v>
      </c>
      <c r="D343" s="1">
        <f>(MOD(teraterm[[#This Row],[Column2]],4096)-Q$4)*$S$3*1000</f>
        <v>-146.484375</v>
      </c>
      <c r="E343" s="1">
        <f>IF(ABS(VALUE(teraterm[[#This Row],[Column1]]))&lt;4095,VALUE(teraterm[[#This Row],[Column1]]),0)</f>
        <v>0</v>
      </c>
      <c r="F343" s="1">
        <f>teraterm[[#This Row],[V(V)]]^2</f>
        <v>0.79495334625244163</v>
      </c>
    </row>
    <row r="344" spans="3:6" x14ac:dyDescent="0.25">
      <c r="C344" s="1">
        <f>(teraterm[[#This Row],[Value(V)]]+$K$2)*$S$2</f>
        <v>0.89160156250000011</v>
      </c>
      <c r="D344" s="1">
        <f>(MOD(teraterm[[#This Row],[Column2]],4096)-Q$4)*$S$3*1000</f>
        <v>-146.484375</v>
      </c>
      <c r="E344" s="1">
        <f>IF(ABS(VALUE(teraterm[[#This Row],[Column1]]))&lt;4095,VALUE(teraterm[[#This Row],[Column1]]),0)</f>
        <v>0</v>
      </c>
      <c r="F344" s="1">
        <f>teraterm[[#This Row],[V(V)]]^2</f>
        <v>0.79495334625244163</v>
      </c>
    </row>
    <row r="345" spans="3:6" x14ac:dyDescent="0.25">
      <c r="C345" s="1">
        <f>(teraterm[[#This Row],[Value(V)]]+$K$2)*$S$2</f>
        <v>0.89160156250000011</v>
      </c>
      <c r="D345" s="1">
        <f>(MOD(teraterm[[#This Row],[Column2]],4096)-Q$4)*$S$3*1000</f>
        <v>-146.484375</v>
      </c>
      <c r="E345" s="1">
        <f>IF(ABS(VALUE(teraterm[[#This Row],[Column1]]))&lt;4095,VALUE(teraterm[[#This Row],[Column1]]),0)</f>
        <v>0</v>
      </c>
      <c r="F345" s="1">
        <f>teraterm[[#This Row],[V(V)]]^2</f>
        <v>0.79495334625244163</v>
      </c>
    </row>
    <row r="346" spans="3:6" x14ac:dyDescent="0.25">
      <c r="C346" s="1">
        <f>(teraterm[[#This Row],[Value(V)]]+$K$2)*$S$2</f>
        <v>0.89160156250000011</v>
      </c>
      <c r="D346" s="1">
        <f>(MOD(teraterm[[#This Row],[Column2]],4096)-Q$4)*$S$3*1000</f>
        <v>-146.484375</v>
      </c>
      <c r="E346" s="1">
        <f>IF(ABS(VALUE(teraterm[[#This Row],[Column1]]))&lt;4095,VALUE(teraterm[[#This Row],[Column1]]),0)</f>
        <v>0</v>
      </c>
      <c r="F346" s="1">
        <f>teraterm[[#This Row],[V(V)]]^2</f>
        <v>0.79495334625244163</v>
      </c>
    </row>
    <row r="347" spans="3:6" x14ac:dyDescent="0.25">
      <c r="C347" s="1">
        <f>(teraterm[[#This Row],[Value(V)]]+$K$2)*$S$2</f>
        <v>0.89160156250000011</v>
      </c>
      <c r="D347" s="1">
        <f>(MOD(teraterm[[#This Row],[Column2]],4096)-Q$4)*$S$3*1000</f>
        <v>-146.484375</v>
      </c>
      <c r="E347" s="1">
        <f>IF(ABS(VALUE(teraterm[[#This Row],[Column1]]))&lt;4095,VALUE(teraterm[[#This Row],[Column1]]),0)</f>
        <v>0</v>
      </c>
      <c r="F347" s="1">
        <f>teraterm[[#This Row],[V(V)]]^2</f>
        <v>0.79495334625244163</v>
      </c>
    </row>
    <row r="348" spans="3:6" x14ac:dyDescent="0.25">
      <c r="C348" s="1">
        <f>(teraterm[[#This Row],[Value(V)]]+$K$2)*$S$2</f>
        <v>0.89160156250000011</v>
      </c>
      <c r="D348" s="1">
        <f>(MOD(teraterm[[#This Row],[Column2]],4096)-Q$4)*$S$3*1000</f>
        <v>-146.484375</v>
      </c>
      <c r="E348" s="1">
        <f>IF(ABS(VALUE(teraterm[[#This Row],[Column1]]))&lt;4095,VALUE(teraterm[[#This Row],[Column1]]),0)</f>
        <v>0</v>
      </c>
      <c r="F348" s="1">
        <f>teraterm[[#This Row],[V(V)]]^2</f>
        <v>0.79495334625244163</v>
      </c>
    </row>
    <row r="349" spans="3:6" x14ac:dyDescent="0.25">
      <c r="C349" s="1">
        <f>(teraterm[[#This Row],[Value(V)]]+$K$2)*$S$2</f>
        <v>0.89160156250000011</v>
      </c>
      <c r="D349" s="1">
        <f>(MOD(teraterm[[#This Row],[Column2]],4096)-Q$4)*$S$3*1000</f>
        <v>-146.484375</v>
      </c>
      <c r="E349" s="1">
        <f>IF(ABS(VALUE(teraterm[[#This Row],[Column1]]))&lt;4095,VALUE(teraterm[[#This Row],[Column1]]),0)</f>
        <v>0</v>
      </c>
      <c r="F349" s="1">
        <f>teraterm[[#This Row],[V(V)]]^2</f>
        <v>0.79495334625244163</v>
      </c>
    </row>
    <row r="350" spans="3:6" x14ac:dyDescent="0.25">
      <c r="C350" s="1">
        <f>(teraterm[[#This Row],[Value(V)]]+$K$2)*$S$2</f>
        <v>0.89160156250000011</v>
      </c>
      <c r="D350" s="1">
        <f>(MOD(teraterm[[#This Row],[Column2]],4096)-Q$4)*$S$3*1000</f>
        <v>-146.484375</v>
      </c>
      <c r="E350" s="1">
        <f>IF(ABS(VALUE(teraterm[[#This Row],[Column1]]))&lt;4095,VALUE(teraterm[[#This Row],[Column1]]),0)</f>
        <v>0</v>
      </c>
      <c r="F350" s="1">
        <f>teraterm[[#This Row],[V(V)]]^2</f>
        <v>0.79495334625244163</v>
      </c>
    </row>
    <row r="351" spans="3:6" x14ac:dyDescent="0.25">
      <c r="C351" s="1">
        <f>(teraterm[[#This Row],[Value(V)]]+$K$2)*$S$2</f>
        <v>0.89160156250000011</v>
      </c>
      <c r="D351" s="1">
        <f>(MOD(teraterm[[#This Row],[Column2]],4096)-Q$4)*$S$3*1000</f>
        <v>-146.484375</v>
      </c>
      <c r="E351" s="1">
        <f>IF(ABS(VALUE(teraterm[[#This Row],[Column1]]))&lt;4095,VALUE(teraterm[[#This Row],[Column1]]),0)</f>
        <v>0</v>
      </c>
      <c r="F351" s="1">
        <f>teraterm[[#This Row],[V(V)]]^2</f>
        <v>0.79495334625244163</v>
      </c>
    </row>
    <row r="352" spans="3:6" x14ac:dyDescent="0.25">
      <c r="C352" s="1">
        <f>(teraterm[[#This Row],[Value(V)]]+$K$2)*$S$2</f>
        <v>0.89160156250000011</v>
      </c>
      <c r="D352" s="1">
        <f>(MOD(teraterm[[#This Row],[Column2]],4096)-Q$4)*$S$3*1000</f>
        <v>-146.484375</v>
      </c>
      <c r="E352" s="1">
        <f>IF(ABS(VALUE(teraterm[[#This Row],[Column1]]))&lt;4095,VALUE(teraterm[[#This Row],[Column1]]),0)</f>
        <v>0</v>
      </c>
      <c r="F352" s="1">
        <f>teraterm[[#This Row],[V(V)]]^2</f>
        <v>0.79495334625244163</v>
      </c>
    </row>
    <row r="353" spans="3:6" x14ac:dyDescent="0.25">
      <c r="C353" s="1">
        <f>(teraterm[[#This Row],[Value(V)]]+$K$2)*$S$2</f>
        <v>0.89160156250000011</v>
      </c>
      <c r="D353" s="1">
        <f>(MOD(teraterm[[#This Row],[Column2]],4096)-Q$4)*$S$3*1000</f>
        <v>-146.484375</v>
      </c>
      <c r="E353" s="1">
        <f>IF(ABS(VALUE(teraterm[[#This Row],[Column1]]))&lt;4095,VALUE(teraterm[[#This Row],[Column1]]),0)</f>
        <v>0</v>
      </c>
      <c r="F353" s="1">
        <f>teraterm[[#This Row],[V(V)]]^2</f>
        <v>0.79495334625244163</v>
      </c>
    </row>
    <row r="354" spans="3:6" x14ac:dyDescent="0.25">
      <c r="C354" s="1">
        <f>(teraterm[[#This Row],[Value(V)]]+$K$2)*$S$2</f>
        <v>0.89160156250000011</v>
      </c>
      <c r="D354" s="1">
        <f>(MOD(teraterm[[#This Row],[Column2]],4096)-Q$4)*$S$3*1000</f>
        <v>-146.484375</v>
      </c>
      <c r="E354" s="1">
        <f>IF(ABS(VALUE(teraterm[[#This Row],[Column1]]))&lt;4095,VALUE(teraterm[[#This Row],[Column1]]),0)</f>
        <v>0</v>
      </c>
      <c r="F354" s="1">
        <f>teraterm[[#This Row],[V(V)]]^2</f>
        <v>0.79495334625244163</v>
      </c>
    </row>
    <row r="355" spans="3:6" x14ac:dyDescent="0.25">
      <c r="C355" s="1">
        <f>(teraterm[[#This Row],[Value(V)]]+$K$2)*$S$2</f>
        <v>0.89160156250000011</v>
      </c>
      <c r="D355" s="1">
        <f>(MOD(teraterm[[#This Row],[Column2]],4096)-Q$4)*$S$3*1000</f>
        <v>-146.484375</v>
      </c>
      <c r="E355" s="1">
        <f>IF(ABS(VALUE(teraterm[[#This Row],[Column1]]))&lt;4095,VALUE(teraterm[[#This Row],[Column1]]),0)</f>
        <v>0</v>
      </c>
      <c r="F355" s="1">
        <f>teraterm[[#This Row],[V(V)]]^2</f>
        <v>0.79495334625244163</v>
      </c>
    </row>
    <row r="356" spans="3:6" x14ac:dyDescent="0.25">
      <c r="C356" s="1">
        <f>(teraterm[[#This Row],[Value(V)]]+$K$2)*$S$2</f>
        <v>0.89160156250000011</v>
      </c>
      <c r="D356" s="1">
        <f>(MOD(teraterm[[#This Row],[Column2]],4096)-Q$4)*$S$3*1000</f>
        <v>-146.484375</v>
      </c>
      <c r="E356" s="1">
        <f>IF(ABS(VALUE(teraterm[[#This Row],[Column1]]))&lt;4095,VALUE(teraterm[[#This Row],[Column1]]),0)</f>
        <v>0</v>
      </c>
      <c r="F356" s="1">
        <f>teraterm[[#This Row],[V(V)]]^2</f>
        <v>0.79495334625244163</v>
      </c>
    </row>
    <row r="357" spans="3:6" x14ac:dyDescent="0.25">
      <c r="C357" s="1">
        <f>(teraterm[[#This Row],[Value(V)]]+$K$2)*$S$2</f>
        <v>0.89160156250000011</v>
      </c>
      <c r="D357" s="1">
        <f>(MOD(teraterm[[#This Row],[Column2]],4096)-Q$4)*$S$3*1000</f>
        <v>-146.484375</v>
      </c>
      <c r="E357" s="1">
        <f>IF(ABS(VALUE(teraterm[[#This Row],[Column1]]))&lt;4095,VALUE(teraterm[[#This Row],[Column1]]),0)</f>
        <v>0</v>
      </c>
      <c r="F357" s="1">
        <f>teraterm[[#This Row],[V(V)]]^2</f>
        <v>0.79495334625244163</v>
      </c>
    </row>
    <row r="358" spans="3:6" x14ac:dyDescent="0.25">
      <c r="C358" s="1">
        <f>(teraterm[[#This Row],[Value(V)]]+$K$2)*$S$2</f>
        <v>0.89160156250000011</v>
      </c>
      <c r="D358" s="1">
        <f>(MOD(teraterm[[#This Row],[Column2]],4096)-Q$4)*$S$3*1000</f>
        <v>-146.484375</v>
      </c>
      <c r="E358" s="1">
        <f>IF(ABS(VALUE(teraterm[[#This Row],[Column1]]))&lt;4095,VALUE(teraterm[[#This Row],[Column1]]),0)</f>
        <v>0</v>
      </c>
      <c r="F358" s="1">
        <f>teraterm[[#This Row],[V(V)]]^2</f>
        <v>0.79495334625244163</v>
      </c>
    </row>
    <row r="359" spans="3:6" x14ac:dyDescent="0.25">
      <c r="C359" s="1">
        <f>(teraterm[[#This Row],[Value(V)]]+$K$2)*$S$2</f>
        <v>0.89160156250000011</v>
      </c>
      <c r="D359" s="1">
        <f>(MOD(teraterm[[#This Row],[Column2]],4096)-Q$4)*$S$3*1000</f>
        <v>-146.484375</v>
      </c>
      <c r="E359" s="1">
        <f>IF(ABS(VALUE(teraterm[[#This Row],[Column1]]))&lt;4095,VALUE(teraterm[[#This Row],[Column1]]),0)</f>
        <v>0</v>
      </c>
      <c r="F359" s="1">
        <f>teraterm[[#This Row],[V(V)]]^2</f>
        <v>0.79495334625244163</v>
      </c>
    </row>
    <row r="360" spans="3:6" x14ac:dyDescent="0.25">
      <c r="C360" s="1">
        <f>(teraterm[[#This Row],[Value(V)]]+$K$2)*$S$2</f>
        <v>0.89160156250000011</v>
      </c>
      <c r="D360" s="1">
        <f>(MOD(teraterm[[#This Row],[Column2]],4096)-Q$4)*$S$3*1000</f>
        <v>-146.484375</v>
      </c>
      <c r="E360" s="1">
        <f>IF(ABS(VALUE(teraterm[[#This Row],[Column1]]))&lt;4095,VALUE(teraterm[[#This Row],[Column1]]),0)</f>
        <v>0</v>
      </c>
      <c r="F360" s="1">
        <f>teraterm[[#This Row],[V(V)]]^2</f>
        <v>0.79495334625244163</v>
      </c>
    </row>
    <row r="361" spans="3:6" x14ac:dyDescent="0.25">
      <c r="C361" s="1">
        <f>(teraterm[[#This Row],[Value(V)]]+$K$2)*$S$2</f>
        <v>0.89160156250000011</v>
      </c>
      <c r="D361" s="1">
        <f>(MOD(teraterm[[#This Row],[Column2]],4096)-Q$4)*$S$3*1000</f>
        <v>-146.484375</v>
      </c>
      <c r="E361" s="1">
        <f>IF(ABS(VALUE(teraterm[[#This Row],[Column1]]))&lt;4095,VALUE(teraterm[[#This Row],[Column1]]),0)</f>
        <v>0</v>
      </c>
      <c r="F361" s="1">
        <f>teraterm[[#This Row],[V(V)]]^2</f>
        <v>0.79495334625244163</v>
      </c>
    </row>
    <row r="362" spans="3:6" x14ac:dyDescent="0.25">
      <c r="C362" s="1">
        <f>(teraterm[[#This Row],[Value(V)]]+$K$2)*$S$2</f>
        <v>0.89160156250000011</v>
      </c>
      <c r="D362" s="1">
        <f>(MOD(teraterm[[#This Row],[Column2]],4096)-Q$4)*$S$3*1000</f>
        <v>-146.484375</v>
      </c>
      <c r="E362" s="1">
        <f>IF(ABS(VALUE(teraterm[[#This Row],[Column1]]))&lt;4095,VALUE(teraterm[[#This Row],[Column1]]),0)</f>
        <v>0</v>
      </c>
      <c r="F362" s="1">
        <f>teraterm[[#This Row],[V(V)]]^2</f>
        <v>0.79495334625244163</v>
      </c>
    </row>
    <row r="363" spans="3:6" x14ac:dyDescent="0.25">
      <c r="C363" s="1">
        <f>(teraterm[[#This Row],[Value(V)]]+$K$2)*$S$2</f>
        <v>0.89160156250000011</v>
      </c>
      <c r="D363" s="1">
        <f>(MOD(teraterm[[#This Row],[Column2]],4096)-Q$4)*$S$3*1000</f>
        <v>-146.484375</v>
      </c>
      <c r="E363" s="1">
        <f>IF(ABS(VALUE(teraterm[[#This Row],[Column1]]))&lt;4095,VALUE(teraterm[[#This Row],[Column1]]),0)</f>
        <v>0</v>
      </c>
      <c r="F363" s="1">
        <f>teraterm[[#This Row],[V(V)]]^2</f>
        <v>0.79495334625244163</v>
      </c>
    </row>
    <row r="364" spans="3:6" x14ac:dyDescent="0.25">
      <c r="C364" s="1">
        <f>(teraterm[[#This Row],[Value(V)]]+$K$2)*$S$2</f>
        <v>0.89160156250000011</v>
      </c>
      <c r="D364" s="1">
        <f>(MOD(teraterm[[#This Row],[Column2]],4096)-Q$4)*$S$3*1000</f>
        <v>-146.484375</v>
      </c>
      <c r="E364" s="1">
        <f>IF(ABS(VALUE(teraterm[[#This Row],[Column1]]))&lt;4095,VALUE(teraterm[[#This Row],[Column1]]),0)</f>
        <v>0</v>
      </c>
      <c r="F364" s="1">
        <f>teraterm[[#This Row],[V(V)]]^2</f>
        <v>0.79495334625244163</v>
      </c>
    </row>
    <row r="365" spans="3:6" x14ac:dyDescent="0.25">
      <c r="C365" s="1">
        <f>(teraterm[[#This Row],[Value(V)]]+$K$2)*$S$2</f>
        <v>0.89160156250000011</v>
      </c>
      <c r="D365" s="1">
        <f>(MOD(teraterm[[#This Row],[Column2]],4096)-Q$4)*$S$3*1000</f>
        <v>-146.484375</v>
      </c>
      <c r="E365" s="1">
        <f>IF(ABS(VALUE(teraterm[[#This Row],[Column1]]))&lt;4095,VALUE(teraterm[[#This Row],[Column1]]),0)</f>
        <v>0</v>
      </c>
      <c r="F365" s="1">
        <f>teraterm[[#This Row],[V(V)]]^2</f>
        <v>0.79495334625244163</v>
      </c>
    </row>
    <row r="366" spans="3:6" x14ac:dyDescent="0.25">
      <c r="C366" s="1">
        <f>(teraterm[[#This Row],[Value(V)]]+$K$2)*$S$2</f>
        <v>0.89160156250000011</v>
      </c>
      <c r="D366" s="1">
        <f>(MOD(teraterm[[#This Row],[Column2]],4096)-Q$4)*$S$3*1000</f>
        <v>-146.484375</v>
      </c>
      <c r="E366" s="1">
        <f>IF(ABS(VALUE(teraterm[[#This Row],[Column1]]))&lt;4095,VALUE(teraterm[[#This Row],[Column1]]),0)</f>
        <v>0</v>
      </c>
      <c r="F366" s="1">
        <f>teraterm[[#This Row],[V(V)]]^2</f>
        <v>0.79495334625244163</v>
      </c>
    </row>
    <row r="367" spans="3:6" x14ac:dyDescent="0.25">
      <c r="C367" s="1">
        <f>(teraterm[[#This Row],[Value(V)]]+$K$2)*$S$2</f>
        <v>0.89160156250000011</v>
      </c>
      <c r="D367" s="1">
        <f>(MOD(teraterm[[#This Row],[Column2]],4096)-Q$4)*$S$3*1000</f>
        <v>-146.484375</v>
      </c>
      <c r="E367" s="1">
        <f>IF(ABS(VALUE(teraterm[[#This Row],[Column1]]))&lt;4095,VALUE(teraterm[[#This Row],[Column1]]),0)</f>
        <v>0</v>
      </c>
      <c r="F367" s="1">
        <f>teraterm[[#This Row],[V(V)]]^2</f>
        <v>0.79495334625244163</v>
      </c>
    </row>
    <row r="368" spans="3:6" x14ac:dyDescent="0.25">
      <c r="C368" s="1">
        <f>(teraterm[[#This Row],[Value(V)]]+$K$2)*$S$2</f>
        <v>0.89160156250000011</v>
      </c>
      <c r="D368" s="1">
        <f>(MOD(teraterm[[#This Row],[Column2]],4096)-Q$4)*$S$3*1000</f>
        <v>-146.484375</v>
      </c>
      <c r="E368" s="1">
        <f>IF(ABS(VALUE(teraterm[[#This Row],[Column1]]))&lt;4095,VALUE(teraterm[[#This Row],[Column1]]),0)</f>
        <v>0</v>
      </c>
      <c r="F368" s="1">
        <f>teraterm[[#This Row],[V(V)]]^2</f>
        <v>0.79495334625244163</v>
      </c>
    </row>
    <row r="369" spans="1:6" x14ac:dyDescent="0.25">
      <c r="C369" s="1">
        <f>(teraterm[[#This Row],[Value(V)]]+$K$2)*$S$2</f>
        <v>0.89160156250000011</v>
      </c>
      <c r="D369" s="1">
        <f>(MOD(teraterm[[#This Row],[Column2]],4096)-Q$4)*$S$3*1000</f>
        <v>-146.484375</v>
      </c>
      <c r="E369" s="1">
        <f>IF(ABS(VALUE(teraterm[[#This Row],[Column1]]))&lt;4095,VALUE(teraterm[[#This Row],[Column1]]),0)</f>
        <v>0</v>
      </c>
      <c r="F369" s="1">
        <f>teraterm[[#This Row],[V(V)]]^2</f>
        <v>0.79495334625244163</v>
      </c>
    </row>
    <row r="370" spans="1:6" x14ac:dyDescent="0.25">
      <c r="C370" s="1">
        <f>(teraterm[[#This Row],[Value(V)]]+$K$2)*$S$2</f>
        <v>0.89160156250000011</v>
      </c>
      <c r="D370" s="1">
        <f>(MOD(teraterm[[#This Row],[Column2]],4096)-Q$4)*$S$3*1000</f>
        <v>-146.484375</v>
      </c>
      <c r="E370" s="1">
        <f>IF(ABS(VALUE(teraterm[[#This Row],[Column1]]))&lt;4095,VALUE(teraterm[[#This Row],[Column1]]),0)</f>
        <v>0</v>
      </c>
      <c r="F370" s="1">
        <f>teraterm[[#This Row],[V(V)]]^2</f>
        <v>0.79495334625244163</v>
      </c>
    </row>
    <row r="371" spans="1:6" x14ac:dyDescent="0.25">
      <c r="C371" s="1">
        <f>(teraterm[[#This Row],[Value(V)]]+$K$2)*$S$2</f>
        <v>0.89160156250000011</v>
      </c>
      <c r="D371" s="1">
        <f>(MOD(teraterm[[#This Row],[Column2]],4096)-Q$4)*$S$3*1000</f>
        <v>-146.484375</v>
      </c>
      <c r="E371" s="1">
        <f>IF(ABS(VALUE(teraterm[[#This Row],[Column1]]))&lt;4095,VALUE(teraterm[[#This Row],[Column1]]),0)</f>
        <v>0</v>
      </c>
      <c r="F371" s="1">
        <f>teraterm[[#This Row],[V(V)]]^2</f>
        <v>0.79495334625244163</v>
      </c>
    </row>
    <row r="372" spans="1:6" x14ac:dyDescent="0.25">
      <c r="C372" s="1">
        <f>(teraterm[[#This Row],[Value(V)]]+$K$2)*$S$2</f>
        <v>0.89160156250000011</v>
      </c>
      <c r="D372" s="1">
        <f>(MOD(teraterm[[#This Row],[Column2]],4096)-Q$4)*$S$3*1000</f>
        <v>-146.484375</v>
      </c>
      <c r="E372" s="1">
        <f>IF(ABS(VALUE(teraterm[[#This Row],[Column1]]))&lt;4095,VALUE(teraterm[[#This Row],[Column1]]),0)</f>
        <v>0</v>
      </c>
      <c r="F372" s="1">
        <f>teraterm[[#This Row],[V(V)]]^2</f>
        <v>0.79495334625244163</v>
      </c>
    </row>
    <row r="373" spans="1:6" x14ac:dyDescent="0.25">
      <c r="C373" s="1">
        <f>(teraterm[[#This Row],[Value(V)]]+$K$2)*$S$2</f>
        <v>0.89160156250000011</v>
      </c>
      <c r="D373" s="1">
        <f>(MOD(teraterm[[#This Row],[Column2]],4096)-Q$4)*$S$3*1000</f>
        <v>-146.484375</v>
      </c>
      <c r="E373" s="1">
        <f>IF(ABS(VALUE(teraterm[[#This Row],[Column1]]))&lt;4095,VALUE(teraterm[[#This Row],[Column1]]),0)</f>
        <v>0</v>
      </c>
      <c r="F373" s="1">
        <f>teraterm[[#This Row],[V(V)]]^2</f>
        <v>0.79495334625244163</v>
      </c>
    </row>
    <row r="374" spans="1:6" x14ac:dyDescent="0.25">
      <c r="C374" s="1">
        <f>(teraterm[[#This Row],[Value(V)]]+$K$2)*$S$2</f>
        <v>0.89160156250000011</v>
      </c>
      <c r="D374" s="1">
        <f>(MOD(teraterm[[#This Row],[Column2]],4096)-Q$4)*$S$3*1000</f>
        <v>-146.484375</v>
      </c>
      <c r="E374" s="1">
        <f>IF(ABS(VALUE(teraterm[[#This Row],[Column1]]))&lt;4095,VALUE(teraterm[[#This Row],[Column1]]),0)</f>
        <v>0</v>
      </c>
      <c r="F374" s="1">
        <f>teraterm[[#This Row],[V(V)]]^2</f>
        <v>0.79495334625244163</v>
      </c>
    </row>
    <row r="375" spans="1:6" x14ac:dyDescent="0.25">
      <c r="C375" s="1">
        <f>(teraterm[[#This Row],[Value(V)]]+$K$2)*$S$2</f>
        <v>0.89160156250000011</v>
      </c>
      <c r="D375" s="1">
        <f>(MOD(teraterm[[#This Row],[Column2]],4096)-Q$4)*$S$3*1000</f>
        <v>-146.484375</v>
      </c>
      <c r="E375" s="1">
        <f>IF(ABS(VALUE(teraterm[[#This Row],[Column1]]))&lt;4095,VALUE(teraterm[[#This Row],[Column1]]),0)</f>
        <v>0</v>
      </c>
      <c r="F375" s="1">
        <f>teraterm[[#This Row],[V(V)]]^2</f>
        <v>0.79495334625244163</v>
      </c>
    </row>
    <row r="376" spans="1:6" x14ac:dyDescent="0.25">
      <c r="C376" s="1">
        <f>(teraterm[[#This Row],[Value(V)]]+$K$2)*$S$2</f>
        <v>0.89160156250000011</v>
      </c>
      <c r="D376" s="1">
        <f>(MOD(teraterm[[#This Row],[Column2]],4096)-Q$4)*$S$3*1000</f>
        <v>-146.484375</v>
      </c>
      <c r="E376" s="1">
        <f>IF(ABS(VALUE(teraterm[[#This Row],[Column1]]))&lt;4095,VALUE(teraterm[[#This Row],[Column1]]),0)</f>
        <v>0</v>
      </c>
      <c r="F376" s="1">
        <f>teraterm[[#This Row],[V(V)]]^2</f>
        <v>0.79495334625244163</v>
      </c>
    </row>
    <row r="377" spans="1:6" x14ac:dyDescent="0.25">
      <c r="C377" s="1">
        <f>(teraterm[[#This Row],[Value(V)]]+$K$2)*$S$2</f>
        <v>0.89160156250000011</v>
      </c>
      <c r="D377" s="1">
        <f>(MOD(teraterm[[#This Row],[Column2]],4096)-Q$4)*$S$3*1000</f>
        <v>-146.484375</v>
      </c>
      <c r="E377" s="1">
        <f>IF(ABS(VALUE(teraterm[[#This Row],[Column1]]))&lt;4095,VALUE(teraterm[[#This Row],[Column1]]),0)</f>
        <v>0</v>
      </c>
      <c r="F377" s="1">
        <f>teraterm[[#This Row],[V(V)]]^2</f>
        <v>0.79495334625244163</v>
      </c>
    </row>
    <row r="378" spans="1:6" x14ac:dyDescent="0.25">
      <c r="C378" s="1">
        <f>(teraterm[[#This Row],[Value(V)]]+$K$2)*$S$2</f>
        <v>0.89160156250000011</v>
      </c>
      <c r="D378" s="1">
        <f>(MOD(teraterm[[#This Row],[Column2]],4096)-Q$4)*$S$3*1000</f>
        <v>-146.484375</v>
      </c>
      <c r="E378" s="1">
        <f>IF(ABS(VALUE(teraterm[[#This Row],[Column1]]))&lt;4095,VALUE(teraterm[[#This Row],[Column1]]),0)</f>
        <v>0</v>
      </c>
      <c r="F378" s="1">
        <f>teraterm[[#This Row],[V(V)]]^2</f>
        <v>0.79495334625244163</v>
      </c>
    </row>
    <row r="379" spans="1:6" x14ac:dyDescent="0.25">
      <c r="C379" s="1">
        <f>(teraterm[[#This Row],[Value(V)]]+$K$2)*$S$2</f>
        <v>0.89160156250000011</v>
      </c>
      <c r="D379" s="1">
        <f>(MOD(teraterm[[#This Row],[Column2]],4096)-Q$4)*$S$3*1000</f>
        <v>-146.484375</v>
      </c>
      <c r="E379" s="1">
        <f>IF(ABS(VALUE(teraterm[[#This Row],[Column1]]))&lt;4095,VALUE(teraterm[[#This Row],[Column1]]),0)</f>
        <v>0</v>
      </c>
      <c r="F379" s="1">
        <f>teraterm[[#This Row],[V(V)]]^2</f>
        <v>0.79495334625244163</v>
      </c>
    </row>
    <row r="380" spans="1:6" x14ac:dyDescent="0.25">
      <c r="C380" s="1">
        <f>(teraterm[[#This Row],[Value(V)]]+$K$2)*$S$2</f>
        <v>0.89160156250000011</v>
      </c>
      <c r="D380" s="1">
        <f>(MOD(teraterm[[#This Row],[Column2]],4096)-Q$4)*$S$3*1000</f>
        <v>-146.484375</v>
      </c>
      <c r="E380" s="1">
        <f>IF(ABS(VALUE(teraterm[[#This Row],[Column1]]))&lt;4095,VALUE(teraterm[[#This Row],[Column1]]),0)</f>
        <v>0</v>
      </c>
      <c r="F380" s="1">
        <f>teraterm[[#This Row],[V(V)]]^2</f>
        <v>0.79495334625244163</v>
      </c>
    </row>
    <row r="381" spans="1:6" x14ac:dyDescent="0.25">
      <c r="C381" s="1">
        <f>(teraterm[[#This Row],[Value(V)]]+$K$2)*$S$2</f>
        <v>0.89160156250000011</v>
      </c>
      <c r="D381" s="1">
        <f>(MOD(teraterm[[#This Row],[Column2]],4096)-Q$4)*$S$3*1000</f>
        <v>-146.484375</v>
      </c>
      <c r="E381" s="1">
        <f>IF(ABS(VALUE(teraterm[[#This Row],[Column1]]))&lt;4095,VALUE(teraterm[[#This Row],[Column1]]),0)</f>
        <v>0</v>
      </c>
      <c r="F381" s="1">
        <f>teraterm[[#This Row],[V(V)]]^2</f>
        <v>0.79495334625244163</v>
      </c>
    </row>
    <row r="382" spans="1:6" x14ac:dyDescent="0.25">
      <c r="A382" s="1" t="s">
        <v>150</v>
      </c>
      <c r="B382" s="2">
        <v>4066</v>
      </c>
      <c r="C382" s="1">
        <f>(teraterm[[#This Row],[Value(V)]]+$K$2)*$S$2</f>
        <v>56.059448242187507</v>
      </c>
      <c r="D382" s="1">
        <f>(MOD(teraterm[[#This Row],[Column2]],4096)-Q$4)*$S$3*1000</f>
        <v>1507.9752604166665</v>
      </c>
      <c r="E382" s="1">
        <f>IF(ABS(VALUE(teraterm[[#This Row],[Column1]]))&lt;4095,VALUE(teraterm[[#This Row],[Column1]]),0)</f>
        <v>495</v>
      </c>
      <c r="F382" s="1">
        <f>teraterm[[#This Row],[V(V)]]^2</f>
        <v>3142.6617372185001</v>
      </c>
    </row>
    <row r="383" spans="1:6" x14ac:dyDescent="0.25">
      <c r="A383" s="1" t="s">
        <v>151</v>
      </c>
      <c r="B383" s="2">
        <v>4007</v>
      </c>
      <c r="C383" s="1">
        <f>(teraterm[[#This Row],[Value(V)]]+$K$2)*$S$2</f>
        <v>41.793823242187507</v>
      </c>
      <c r="D383" s="1">
        <f>(MOD(teraterm[[#This Row],[Column2]],4096)-Q$4)*$S$3*1000</f>
        <v>1483.9680989583333</v>
      </c>
      <c r="E383" s="1">
        <f>IF(ABS(VALUE(teraterm[[#This Row],[Column1]]))&lt;4095,VALUE(teraterm[[#This Row],[Column1]]),0)</f>
        <v>367</v>
      </c>
      <c r="F383" s="1">
        <f>teraterm[[#This Row],[V(V)]]^2</f>
        <v>1746.7236611992128</v>
      </c>
    </row>
    <row r="384" spans="1:6" x14ac:dyDescent="0.25">
      <c r="A384" s="1" t="s">
        <v>152</v>
      </c>
      <c r="B384" s="2">
        <v>3982</v>
      </c>
      <c r="C384" s="1">
        <f>(teraterm[[#This Row],[Value(V)]]+$K$2)*$S$2</f>
        <v>32.543457031250007</v>
      </c>
      <c r="D384" s="1">
        <f>(MOD(teraterm[[#This Row],[Column2]],4096)-Q$4)*$S$3*1000</f>
        <v>1473.7955729166665</v>
      </c>
      <c r="E384" s="1">
        <f>IF(ABS(VALUE(teraterm[[#This Row],[Column1]]))&lt;4095,VALUE(teraterm[[#This Row],[Column1]]),0)</f>
        <v>284</v>
      </c>
      <c r="F384" s="1">
        <f>teraterm[[#This Row],[V(V)]]^2</f>
        <v>1059.0765955448155</v>
      </c>
    </row>
    <row r="385" spans="1:6" x14ac:dyDescent="0.25">
      <c r="A385" s="1" t="s">
        <v>153</v>
      </c>
      <c r="B385" s="2">
        <v>3991</v>
      </c>
      <c r="C385" s="1">
        <f>(teraterm[[#This Row],[Value(V)]]+$K$2)*$S$2</f>
        <v>29.534301757812504</v>
      </c>
      <c r="D385" s="1">
        <f>(MOD(teraterm[[#This Row],[Column2]],4096)-Q$4)*$S$3*1000</f>
        <v>1477.4576822916665</v>
      </c>
      <c r="E385" s="1">
        <f>IF(ABS(VALUE(teraterm[[#This Row],[Column1]]))&lt;4095,VALUE(teraterm[[#This Row],[Column1]]),0)</f>
        <v>257</v>
      </c>
      <c r="F385" s="1">
        <f>teraterm[[#This Row],[V(V)]]^2</f>
        <v>872.27498032152675</v>
      </c>
    </row>
    <row r="386" spans="1:6" x14ac:dyDescent="0.25">
      <c r="A386" s="1" t="s">
        <v>154</v>
      </c>
      <c r="B386" s="2">
        <v>3978</v>
      </c>
      <c r="C386" s="1">
        <f>(teraterm[[#This Row],[Value(V)]]+$K$2)*$S$2</f>
        <v>28.196899414062504</v>
      </c>
      <c r="D386" s="1">
        <f>(MOD(teraterm[[#This Row],[Column2]],4096)-Q$4)*$S$3*1000</f>
        <v>1472.1679687499998</v>
      </c>
      <c r="E386" s="1">
        <f>IF(ABS(VALUE(teraterm[[#This Row],[Column1]]))&lt;4095,VALUE(teraterm[[#This Row],[Column1]]),0)</f>
        <v>245</v>
      </c>
      <c r="F386" s="1">
        <f>teraterm[[#This Row],[V(V)]]^2</f>
        <v>795.06513656675838</v>
      </c>
    </row>
    <row r="387" spans="1:6" x14ac:dyDescent="0.25">
      <c r="A387" s="1" t="s">
        <v>155</v>
      </c>
      <c r="B387" s="2">
        <v>3982</v>
      </c>
      <c r="C387" s="1">
        <f>(teraterm[[#This Row],[Value(V)]]+$K$2)*$S$2</f>
        <v>27.751098632812504</v>
      </c>
      <c r="D387" s="1">
        <f>(MOD(teraterm[[#This Row],[Column2]],4096)-Q$4)*$S$3*1000</f>
        <v>1473.7955729166665</v>
      </c>
      <c r="E387" s="1">
        <f>IF(ABS(VALUE(teraterm[[#This Row],[Column1]]))&lt;4095,VALUE(teraterm[[#This Row],[Column1]]),0)</f>
        <v>241</v>
      </c>
      <c r="F387" s="1">
        <f>teraterm[[#This Row],[V(V)]]^2</f>
        <v>770.12347532808803</v>
      </c>
    </row>
    <row r="388" spans="1:6" x14ac:dyDescent="0.25">
      <c r="A388" s="1" t="s">
        <v>156</v>
      </c>
      <c r="B388" s="2">
        <v>3995</v>
      </c>
      <c r="C388" s="1">
        <f>(teraterm[[#This Row],[Value(V)]]+$K$2)*$S$2</f>
        <v>28.865600585937504</v>
      </c>
      <c r="D388" s="1">
        <f>(MOD(teraterm[[#This Row],[Column2]],4096)-Q$4)*$S$3*1000</f>
        <v>1479.0852864583333</v>
      </c>
      <c r="E388" s="1">
        <f>IF(ABS(VALUE(teraterm[[#This Row],[Column1]]))&lt;4095,VALUE(teraterm[[#This Row],[Column1]]),0)</f>
        <v>251</v>
      </c>
      <c r="F388" s="1">
        <f>teraterm[[#This Row],[V(V)]]^2</f>
        <v>833.22289718687557</v>
      </c>
    </row>
    <row r="389" spans="1:6" x14ac:dyDescent="0.25">
      <c r="A389" s="1" t="s">
        <v>157</v>
      </c>
      <c r="B389" s="2">
        <v>4023</v>
      </c>
      <c r="C389" s="1">
        <f>(teraterm[[#This Row],[Value(V)]]+$K$2)*$S$2</f>
        <v>36.109863281250007</v>
      </c>
      <c r="D389" s="1">
        <f>(MOD(teraterm[[#This Row],[Column2]],4096)-Q$4)*$S$3*1000</f>
        <v>1490.4785156249998</v>
      </c>
      <c r="E389" s="1">
        <f>IF(ABS(VALUE(teraterm[[#This Row],[Column1]]))&lt;4095,VALUE(teraterm[[#This Row],[Column1]]),0)</f>
        <v>316</v>
      </c>
      <c r="F389" s="1">
        <f>teraterm[[#This Row],[V(V)]]^2</f>
        <v>1303.9222261905675</v>
      </c>
    </row>
    <row r="390" spans="1:6" x14ac:dyDescent="0.25">
      <c r="A390" s="1" t="s">
        <v>158</v>
      </c>
      <c r="B390" s="2">
        <v>4089</v>
      </c>
      <c r="C390" s="1">
        <f>(teraterm[[#This Row],[Value(V)]]+$K$2)*$S$2</f>
        <v>54.499145507812507</v>
      </c>
      <c r="D390" s="1">
        <f>(MOD(teraterm[[#This Row],[Column2]],4096)-Q$4)*$S$3*1000</f>
        <v>1517.3339843749998</v>
      </c>
      <c r="E390" s="1">
        <f>IF(ABS(VALUE(teraterm[[#This Row],[Column1]]))&lt;4095,VALUE(teraterm[[#This Row],[Column1]]),0)</f>
        <v>481</v>
      </c>
      <c r="F390" s="1">
        <f>teraterm[[#This Row],[V(V)]]^2</f>
        <v>2970.1568610817203</v>
      </c>
    </row>
    <row r="391" spans="1:6" x14ac:dyDescent="0.25">
      <c r="A391" s="1" t="s">
        <v>159</v>
      </c>
      <c r="B391" s="2">
        <v>55</v>
      </c>
      <c r="C391" s="1">
        <f>(teraterm[[#This Row],[Value(V)]]+$K$2)*$S$2</f>
        <v>77.903686523437514</v>
      </c>
      <c r="D391" s="1">
        <f>(MOD(teraterm[[#This Row],[Column2]],4096)-Q$4)*$S$3*1000</f>
        <v>-124.10481770833333</v>
      </c>
      <c r="E391" s="1">
        <f>IF(ABS(VALUE(teraterm[[#This Row],[Column1]]))&lt;4095,VALUE(teraterm[[#This Row],[Column1]]),0)</f>
        <v>691</v>
      </c>
      <c r="F391" s="1">
        <f>teraterm[[#This Row],[V(V)]]^2</f>
        <v>6068.9843739420194</v>
      </c>
    </row>
    <row r="392" spans="1:6" x14ac:dyDescent="0.25">
      <c r="A392" s="1" t="s">
        <v>160</v>
      </c>
      <c r="B392" s="2">
        <v>91</v>
      </c>
      <c r="C392" s="1">
        <f>(teraterm[[#This Row],[Value(V)]]+$K$2)*$S$2</f>
        <v>100.30517578125001</v>
      </c>
      <c r="D392" s="1">
        <f>(MOD(teraterm[[#This Row],[Column2]],4096)-Q$4)*$S$3*1000</f>
        <v>-109.45638020833333</v>
      </c>
      <c r="E392" s="1">
        <f>IF(ABS(VALUE(teraterm[[#This Row],[Column1]]))&lt;4095,VALUE(teraterm[[#This Row],[Column1]]),0)</f>
        <v>892</v>
      </c>
      <c r="F392" s="1">
        <f>teraterm[[#This Row],[V(V)]]^2</f>
        <v>10061.128288507465</v>
      </c>
    </row>
    <row r="393" spans="1:6" x14ac:dyDescent="0.25">
      <c r="A393" s="1" t="s">
        <v>161</v>
      </c>
      <c r="B393" s="2">
        <v>149</v>
      </c>
      <c r="C393" s="1">
        <f>(teraterm[[#This Row],[Value(V)]]+$K$2)*$S$2</f>
        <v>124.60131835937501</v>
      </c>
      <c r="D393" s="1">
        <f>(MOD(teraterm[[#This Row],[Column2]],4096)-Q$4)*$S$3*1000</f>
        <v>-85.856119791666657</v>
      </c>
      <c r="E393" s="1">
        <f>IF(ABS(VALUE(teraterm[[#This Row],[Column1]]))&lt;4095,VALUE(teraterm[[#This Row],[Column1]]),0)</f>
        <v>1110</v>
      </c>
      <c r="F393" s="1">
        <f>teraterm[[#This Row],[V(V)]]^2</f>
        <v>15525.488536894325</v>
      </c>
    </row>
    <row r="394" spans="1:6" x14ac:dyDescent="0.25">
      <c r="A394" s="1" t="s">
        <v>162</v>
      </c>
      <c r="B394" s="2">
        <v>205</v>
      </c>
      <c r="C394" s="1">
        <f>(teraterm[[#This Row],[Value(V)]]+$K$2)*$S$2</f>
        <v>152.24096679687503</v>
      </c>
      <c r="D394" s="1">
        <f>(MOD(teraterm[[#This Row],[Column2]],4096)-Q$4)*$S$3*1000</f>
        <v>-63.069661458333329</v>
      </c>
      <c r="E394" s="1">
        <f>IF(ABS(VALUE(teraterm[[#This Row],[Column1]]))&lt;4095,VALUE(teraterm[[#This Row],[Column1]]),0)</f>
        <v>1358</v>
      </c>
      <c r="F394" s="1">
        <f>teraterm[[#This Row],[V(V)]]^2</f>
        <v>23177.311971247203</v>
      </c>
    </row>
    <row r="395" spans="1:6" x14ac:dyDescent="0.25">
      <c r="A395" s="1" t="s">
        <v>163</v>
      </c>
      <c r="B395" s="2">
        <v>246</v>
      </c>
      <c r="C395" s="1">
        <f>(teraterm[[#This Row],[Value(V)]]+$K$2)*$S$2</f>
        <v>179.65771484375003</v>
      </c>
      <c r="D395" s="1">
        <f>(MOD(teraterm[[#This Row],[Column2]],4096)-Q$4)*$S$3*1000</f>
        <v>-46.386718749999993</v>
      </c>
      <c r="E395" s="1">
        <f>IF(ABS(VALUE(teraterm[[#This Row],[Column1]]))&lt;4095,VALUE(teraterm[[#This Row],[Column1]]),0)</f>
        <v>1604</v>
      </c>
      <c r="F395" s="1">
        <f>teraterm[[#This Row],[V(V)]]^2</f>
        <v>32276.8945028782</v>
      </c>
    </row>
    <row r="396" spans="1:6" x14ac:dyDescent="0.25">
      <c r="A396" s="1" t="s">
        <v>164</v>
      </c>
      <c r="B396" s="2">
        <v>287</v>
      </c>
      <c r="C396" s="1">
        <f>(teraterm[[#This Row],[Value(V)]]+$K$2)*$S$2</f>
        <v>208.85766601562503</v>
      </c>
      <c r="D396" s="1">
        <f>(MOD(teraterm[[#This Row],[Column2]],4096)-Q$4)*$S$3*1000</f>
        <v>-29.703776041666664</v>
      </c>
      <c r="E396" s="1">
        <f>IF(ABS(VALUE(teraterm[[#This Row],[Column1]]))&lt;4095,VALUE(teraterm[[#This Row],[Column1]]),0)</f>
        <v>1866</v>
      </c>
      <c r="F396" s="1">
        <f>teraterm[[#This Row],[V(V)]]^2</f>
        <v>43621.524653494373</v>
      </c>
    </row>
    <row r="397" spans="1:6" x14ac:dyDescent="0.25">
      <c r="A397" s="1" t="s">
        <v>165</v>
      </c>
      <c r="B397" s="2">
        <v>316</v>
      </c>
      <c r="C397" s="1">
        <f>(teraterm[[#This Row],[Value(V)]]+$K$2)*$S$2</f>
        <v>240.28662109375003</v>
      </c>
      <c r="D397" s="1">
        <f>(MOD(teraterm[[#This Row],[Column2]],4096)-Q$4)*$S$3*1000</f>
        <v>-17.903645833333332</v>
      </c>
      <c r="E397" s="1">
        <f>IF(ABS(VALUE(teraterm[[#This Row],[Column1]]))&lt;4095,VALUE(teraterm[[#This Row],[Column1]]),0)</f>
        <v>2148</v>
      </c>
      <c r="F397" s="1">
        <f>teraterm[[#This Row],[V(V)]]^2</f>
        <v>57737.660276651397</v>
      </c>
    </row>
    <row r="398" spans="1:6" x14ac:dyDescent="0.25">
      <c r="A398" s="1" t="s">
        <v>166</v>
      </c>
      <c r="B398" s="2">
        <v>390</v>
      </c>
      <c r="C398" s="1">
        <f>(teraterm[[#This Row],[Value(V)]]+$K$2)*$S$2</f>
        <v>271.15832519531256</v>
      </c>
      <c r="D398" s="1">
        <f>(MOD(teraterm[[#This Row],[Column2]],4096)-Q$4)*$S$3*1000</f>
        <v>12.207031249999998</v>
      </c>
      <c r="E398" s="1">
        <f>IF(ABS(VALUE(teraterm[[#This Row],[Column1]]))&lt;4095,VALUE(teraterm[[#This Row],[Column1]]),0)</f>
        <v>2425</v>
      </c>
      <c r="F398" s="1">
        <f>teraterm[[#This Row],[V(V)]]^2</f>
        <v>73526.837322726875</v>
      </c>
    </row>
    <row r="399" spans="1:6" x14ac:dyDescent="0.25">
      <c r="A399" s="1" t="s">
        <v>167</v>
      </c>
      <c r="B399" s="2">
        <v>430</v>
      </c>
      <c r="C399" s="1">
        <f>(teraterm[[#This Row],[Value(V)]]+$K$2)*$S$2</f>
        <v>297.68347167968756</v>
      </c>
      <c r="D399" s="1">
        <f>(MOD(teraterm[[#This Row],[Column2]],4096)-Q$4)*$S$3*1000</f>
        <v>28.483072916666664</v>
      </c>
      <c r="E399" s="1">
        <f>IF(ABS(VALUE(teraterm[[#This Row],[Column1]]))&lt;4095,VALUE(teraterm[[#This Row],[Column1]]),0)</f>
        <v>2663</v>
      </c>
      <c r="F399" s="1">
        <f>teraterm[[#This Row],[V(V)]]^2</f>
        <v>88615.449311271339</v>
      </c>
    </row>
    <row r="400" spans="1:6" x14ac:dyDescent="0.25">
      <c r="A400" s="1" t="s">
        <v>168</v>
      </c>
      <c r="B400" s="2">
        <v>465</v>
      </c>
      <c r="C400" s="1">
        <f>(teraterm[[#This Row],[Value(V)]]+$K$2)*$S$2</f>
        <v>324.76586914062506</v>
      </c>
      <c r="D400" s="1">
        <f>(MOD(teraterm[[#This Row],[Column2]],4096)-Q$4)*$S$3*1000</f>
        <v>42.724609374999993</v>
      </c>
      <c r="E400" s="1">
        <f>IF(ABS(VALUE(teraterm[[#This Row],[Column1]]))&lt;4095,VALUE(teraterm[[#This Row],[Column1]]),0)</f>
        <v>2906</v>
      </c>
      <c r="F400" s="1">
        <f>teraterm[[#This Row],[V(V)]]^2</f>
        <v>105472.86975866561</v>
      </c>
    </row>
    <row r="401" spans="1:6" x14ac:dyDescent="0.25">
      <c r="A401" s="1" t="s">
        <v>140</v>
      </c>
      <c r="B401" s="2">
        <v>520</v>
      </c>
      <c r="C401" s="1">
        <f>(teraterm[[#This Row],[Value(V)]]+$K$2)*$S$2</f>
        <v>351.06811523437506</v>
      </c>
      <c r="D401" s="1">
        <f>(MOD(teraterm[[#This Row],[Column2]],4096)-Q$4)*$S$3*1000</f>
        <v>65.104166666666657</v>
      </c>
      <c r="E401" s="1">
        <f>IF(ABS(VALUE(teraterm[[#This Row],[Column1]]))&lt;4095,VALUE(teraterm[[#This Row],[Column1]]),0)</f>
        <v>3142</v>
      </c>
      <c r="F401" s="1">
        <f>teraterm[[#This Row],[V(V)]]^2</f>
        <v>123248.82153421645</v>
      </c>
    </row>
    <row r="402" spans="1:6" x14ac:dyDescent="0.25">
      <c r="A402" s="1" t="s">
        <v>169</v>
      </c>
      <c r="B402" s="2">
        <v>553</v>
      </c>
      <c r="C402" s="1">
        <f>(teraterm[[#This Row],[Value(V)]]+$K$2)*$S$2</f>
        <v>374.58410644531256</v>
      </c>
      <c r="D402" s="1">
        <f>(MOD(teraterm[[#This Row],[Column2]],4096)-Q$4)*$S$3*1000</f>
        <v>78.531901041666657</v>
      </c>
      <c r="E402" s="1">
        <f>IF(ABS(VALUE(teraterm[[#This Row],[Column1]]))&lt;4095,VALUE(teraterm[[#This Row],[Column1]]),0)</f>
        <v>3353</v>
      </c>
      <c r="F402" s="1">
        <f>teraterm[[#This Row],[V(V)]]^2</f>
        <v>140313.25280143323</v>
      </c>
    </row>
    <row r="403" spans="1:6" x14ac:dyDescent="0.25">
      <c r="A403" s="1" t="s">
        <v>170</v>
      </c>
      <c r="B403" s="2">
        <v>576</v>
      </c>
      <c r="C403" s="1">
        <f>(teraterm[[#This Row],[Value(V)]]+$K$2)*$S$2</f>
        <v>396.65124511718756</v>
      </c>
      <c r="D403" s="1">
        <f>(MOD(teraterm[[#This Row],[Column2]],4096)-Q$4)*$S$3*1000</f>
        <v>87.890624999999986</v>
      </c>
      <c r="E403" s="1">
        <f>IF(ABS(VALUE(teraterm[[#This Row],[Column1]]))&lt;4095,VALUE(teraterm[[#This Row],[Column1]]),0)</f>
        <v>3551</v>
      </c>
      <c r="F403" s="1">
        <f>teraterm[[#This Row],[V(V)]]^2</f>
        <v>157332.21025301522</v>
      </c>
    </row>
    <row r="404" spans="1:6" x14ac:dyDescent="0.25">
      <c r="A404" s="1" t="s">
        <v>171</v>
      </c>
      <c r="B404" s="2">
        <v>634</v>
      </c>
      <c r="C404" s="1">
        <f>(teraterm[[#This Row],[Value(V)]]+$K$2)*$S$2</f>
        <v>415.93212890625006</v>
      </c>
      <c r="D404" s="1">
        <f>(MOD(teraterm[[#This Row],[Column2]],4096)-Q$4)*$S$3*1000</f>
        <v>111.49088541666666</v>
      </c>
      <c r="E404" s="1">
        <f>IF(ABS(VALUE(teraterm[[#This Row],[Column1]]))&lt;4095,VALUE(teraterm[[#This Row],[Column1]]),0)</f>
        <v>3724</v>
      </c>
      <c r="F404" s="1">
        <f>teraterm[[#This Row],[V(V)]]^2</f>
        <v>172999.53585648543</v>
      </c>
    </row>
    <row r="405" spans="1:6" x14ac:dyDescent="0.25">
      <c r="A405" s="1" t="s">
        <v>172</v>
      </c>
      <c r="B405" s="2">
        <v>631</v>
      </c>
      <c r="C405" s="1">
        <f>(teraterm[[#This Row],[Value(V)]]+$K$2)*$S$2</f>
        <v>430.64355468750006</v>
      </c>
      <c r="D405" s="1">
        <f>(MOD(teraterm[[#This Row],[Column2]],4096)-Q$4)*$S$3*1000</f>
        <v>110.27018229166666</v>
      </c>
      <c r="E405" s="1">
        <f>IF(ABS(VALUE(teraterm[[#This Row],[Column1]]))&lt;4095,VALUE(teraterm[[#This Row],[Column1]]),0)</f>
        <v>3856</v>
      </c>
      <c r="F405" s="1">
        <f>teraterm[[#This Row],[V(V)]]^2</f>
        <v>185453.87119388586</v>
      </c>
    </row>
    <row r="406" spans="1:6" x14ac:dyDescent="0.25">
      <c r="A406" s="1" t="s">
        <v>52</v>
      </c>
      <c r="B406" s="2">
        <v>665</v>
      </c>
      <c r="C406" s="1">
        <f>(teraterm[[#This Row],[Value(V)]]+$K$2)*$S$2</f>
        <v>441.23132324218756</v>
      </c>
      <c r="D406" s="1">
        <f>(MOD(teraterm[[#This Row],[Column2]],4096)-Q$4)*$S$3*1000</f>
        <v>124.10481770833333</v>
      </c>
      <c r="E406" s="1">
        <f>IF(ABS(VALUE(teraterm[[#This Row],[Column1]]))&lt;4095,VALUE(teraterm[[#This Row],[Column1]]),0)</f>
        <v>3951</v>
      </c>
      <c r="F406" s="1">
        <f>teraterm[[#This Row],[V(V)]]^2</f>
        <v>194685.08061005181</v>
      </c>
    </row>
    <row r="407" spans="1:6" x14ac:dyDescent="0.25">
      <c r="A407" s="1" t="s">
        <v>173</v>
      </c>
      <c r="B407" s="2">
        <v>663</v>
      </c>
      <c r="C407" s="1">
        <f>(teraterm[[#This Row],[Value(V)]]+$K$2)*$S$2</f>
        <v>445.57788085937506</v>
      </c>
      <c r="D407" s="1">
        <f>(MOD(teraterm[[#This Row],[Column2]],4096)-Q$4)*$S$3*1000</f>
        <v>123.29101562499999</v>
      </c>
      <c r="E407" s="1">
        <f>IF(ABS(VALUE(teraterm[[#This Row],[Column1]]))&lt;4095,VALUE(teraterm[[#This Row],[Column1]]),0)</f>
        <v>3990</v>
      </c>
      <c r="F407" s="1">
        <f>teraterm[[#This Row],[V(V)]]^2</f>
        <v>198539.64791113144</v>
      </c>
    </row>
    <row r="408" spans="1:6" x14ac:dyDescent="0.25">
      <c r="A408" s="1" t="s">
        <v>174</v>
      </c>
      <c r="B408" s="2">
        <v>664</v>
      </c>
      <c r="C408" s="1">
        <f>(teraterm[[#This Row],[Value(V)]]+$K$2)*$S$2</f>
        <v>447.58398437500006</v>
      </c>
      <c r="D408" s="1">
        <f>(MOD(teraterm[[#This Row],[Column2]],4096)-Q$4)*$S$3*1000</f>
        <v>123.69791666666666</v>
      </c>
      <c r="E408" s="1">
        <f>IF(ABS(VALUE(teraterm[[#This Row],[Column1]]))&lt;4095,VALUE(teraterm[[#This Row],[Column1]]),0)</f>
        <v>4008</v>
      </c>
      <c r="F408" s="1">
        <f>teraterm[[#This Row],[V(V)]]^2</f>
        <v>200331.4230690003</v>
      </c>
    </row>
    <row r="409" spans="1:6" x14ac:dyDescent="0.25">
      <c r="A409" s="1" t="s">
        <v>175</v>
      </c>
      <c r="B409" s="2">
        <v>665</v>
      </c>
      <c r="C409" s="1">
        <f>(teraterm[[#This Row],[Value(V)]]+$K$2)*$S$2</f>
        <v>448.92138671875006</v>
      </c>
      <c r="D409" s="1">
        <f>(MOD(teraterm[[#This Row],[Column2]],4096)-Q$4)*$S$3*1000</f>
        <v>124.10481770833333</v>
      </c>
      <c r="E409" s="1">
        <f>IF(ABS(VALUE(teraterm[[#This Row],[Column1]]))&lt;4095,VALUE(teraterm[[#This Row],[Column1]]),0)</f>
        <v>4020</v>
      </c>
      <c r="F409" s="1">
        <f>teraterm[[#This Row],[V(V)]]^2</f>
        <v>201530.41145348555</v>
      </c>
    </row>
    <row r="410" spans="1:6" x14ac:dyDescent="0.25">
      <c r="A410" s="1" t="s">
        <v>176</v>
      </c>
      <c r="B410" s="2">
        <v>663</v>
      </c>
      <c r="C410" s="1">
        <f>(teraterm[[#This Row],[Value(V)]]+$K$2)*$S$2</f>
        <v>449.14428710937506</v>
      </c>
      <c r="D410" s="1">
        <f>(MOD(teraterm[[#This Row],[Column2]],4096)-Q$4)*$S$3*1000</f>
        <v>123.29101562499999</v>
      </c>
      <c r="E410" s="1">
        <f>IF(ABS(VALUE(teraterm[[#This Row],[Column1]]))&lt;4095,VALUE(teraterm[[#This Row],[Column1]]),0)</f>
        <v>4022</v>
      </c>
      <c r="F410" s="1">
        <f>teraterm[[#This Row],[V(V)]]^2</f>
        <v>201730.59064298874</v>
      </c>
    </row>
    <row r="411" spans="1:6" x14ac:dyDescent="0.25">
      <c r="A411" s="1" t="s">
        <v>177</v>
      </c>
      <c r="B411" s="2">
        <v>640</v>
      </c>
      <c r="C411" s="1">
        <f>(teraterm[[#This Row],[Value(V)]]+$K$2)*$S$2</f>
        <v>446.02368164062506</v>
      </c>
      <c r="D411" s="1">
        <f>(MOD(teraterm[[#This Row],[Column2]],4096)-Q$4)*$S$3*1000</f>
        <v>113.93229166666666</v>
      </c>
      <c r="E411" s="1">
        <f>IF(ABS(VALUE(teraterm[[#This Row],[Column1]]))&lt;4095,VALUE(teraterm[[#This Row],[Column1]]),0)</f>
        <v>3994</v>
      </c>
      <c r="F411" s="1">
        <f>teraterm[[#This Row],[V(V)]]^2</f>
        <v>198937.12458425766</v>
      </c>
    </row>
    <row r="412" spans="1:6" x14ac:dyDescent="0.25">
      <c r="A412" s="1" t="s">
        <v>178</v>
      </c>
      <c r="B412" s="2">
        <v>623</v>
      </c>
      <c r="C412" s="1">
        <f>(teraterm[[#This Row],[Value(V)]]+$K$2)*$S$2</f>
        <v>433.20690917968756</v>
      </c>
      <c r="D412" s="1">
        <f>(MOD(teraterm[[#This Row],[Column2]],4096)-Q$4)*$S$3*1000</f>
        <v>107.01497395833333</v>
      </c>
      <c r="E412" s="1">
        <f>IF(ABS(VALUE(teraterm[[#This Row],[Column1]]))&lt;4095,VALUE(teraterm[[#This Row],[Column1]]),0)</f>
        <v>3879</v>
      </c>
      <c r="F412" s="1">
        <f>teraterm[[#This Row],[V(V)]]^2</f>
        <v>187668.22616101807</v>
      </c>
    </row>
    <row r="413" spans="1:6" x14ac:dyDescent="0.25">
      <c r="A413" s="1" t="s">
        <v>179</v>
      </c>
      <c r="B413" s="2">
        <v>586</v>
      </c>
      <c r="C413" s="1">
        <f>(teraterm[[#This Row],[Value(V)]]+$K$2)*$S$2</f>
        <v>410.47106933593756</v>
      </c>
      <c r="D413" s="1">
        <f>(MOD(teraterm[[#This Row],[Column2]],4096)-Q$4)*$S$3*1000</f>
        <v>91.959635416666657</v>
      </c>
      <c r="E413" s="1">
        <f>IF(ABS(VALUE(teraterm[[#This Row],[Column1]]))&lt;4095,VALUE(teraterm[[#This Row],[Column1]]),0)</f>
        <v>3675</v>
      </c>
      <c r="F413" s="1">
        <f>teraterm[[#This Row],[V(V)]]^2</f>
        <v>168486.49876178807</v>
      </c>
    </row>
    <row r="414" spans="1:6" x14ac:dyDescent="0.25">
      <c r="A414" s="1" t="s">
        <v>180</v>
      </c>
      <c r="B414" s="2">
        <v>654</v>
      </c>
      <c r="C414" s="1">
        <f>(teraterm[[#This Row],[Value(V)]]+$K$2)*$S$2</f>
        <v>432.76110839843756</v>
      </c>
      <c r="D414" s="1">
        <f>(MOD(teraterm[[#This Row],[Column2]],4096)-Q$4)*$S$3*1000</f>
        <v>119.62890624999999</v>
      </c>
      <c r="E414" s="1">
        <f>IF(ABS(VALUE(teraterm[[#This Row],[Column1]]))&lt;4095,VALUE(teraterm[[#This Row],[Column1]]),0)</f>
        <v>3875</v>
      </c>
      <c r="F414" s="1">
        <f>teraterm[[#This Row],[V(V)]]^2</f>
        <v>187282.17694224423</v>
      </c>
    </row>
    <row r="415" spans="1:6" x14ac:dyDescent="0.25">
      <c r="A415" s="1" t="s">
        <v>181</v>
      </c>
      <c r="B415" s="2">
        <v>644</v>
      </c>
      <c r="C415" s="1">
        <f>(teraterm[[#This Row],[Value(V)]]+$K$2)*$S$2</f>
        <v>442.34582519531256</v>
      </c>
      <c r="D415" s="1">
        <f>(MOD(teraterm[[#This Row],[Column2]],4096)-Q$4)*$S$3*1000</f>
        <v>115.55989583333333</v>
      </c>
      <c r="E415" s="1">
        <f>IF(ABS(VALUE(teraterm[[#This Row],[Column1]]))&lt;4095,VALUE(teraterm[[#This Row],[Column1]]),0)</f>
        <v>3961</v>
      </c>
      <c r="F415" s="1">
        <f>teraterm[[#This Row],[V(V)]]^2</f>
        <v>195669.82906772202</v>
      </c>
    </row>
    <row r="416" spans="1:6" x14ac:dyDescent="0.25">
      <c r="A416" s="1" t="s">
        <v>57</v>
      </c>
      <c r="B416" s="2">
        <v>669</v>
      </c>
      <c r="C416" s="1">
        <f>(teraterm[[#This Row],[Value(V)]]+$K$2)*$S$2</f>
        <v>446.35803222656256</v>
      </c>
      <c r="D416" s="1">
        <f>(MOD(teraterm[[#This Row],[Column2]],4096)-Q$4)*$S$3*1000</f>
        <v>125.732421875</v>
      </c>
      <c r="E416" s="1">
        <f>IF(ABS(VALUE(teraterm[[#This Row],[Column1]]))&lt;4095,VALUE(teraterm[[#This Row],[Column1]]),0)</f>
        <v>3997</v>
      </c>
      <c r="F416" s="1">
        <f>teraterm[[#This Row],[V(V)]]^2</f>
        <v>199235.49293316907</v>
      </c>
    </row>
    <row r="417" spans="1:6" x14ac:dyDescent="0.25">
      <c r="A417" s="1" t="s">
        <v>182</v>
      </c>
      <c r="B417" s="2">
        <v>674</v>
      </c>
      <c r="C417" s="1">
        <f>(teraterm[[#This Row],[Value(V)]]+$K$2)*$S$2</f>
        <v>448.25268554687506</v>
      </c>
      <c r="D417" s="1">
        <f>(MOD(teraterm[[#This Row],[Column2]],4096)-Q$4)*$S$3*1000</f>
        <v>127.76692708333331</v>
      </c>
      <c r="E417" s="1">
        <f>IF(ABS(VALUE(teraterm[[#This Row],[Column1]]))&lt;4095,VALUE(teraterm[[#This Row],[Column1]]),0)</f>
        <v>4014</v>
      </c>
      <c r="F417" s="1">
        <f>teraterm[[#This Row],[V(V)]]^2</f>
        <v>200930.47009998566</v>
      </c>
    </row>
    <row r="418" spans="1:6" x14ac:dyDescent="0.25">
      <c r="A418" s="1" t="s">
        <v>96</v>
      </c>
      <c r="B418" s="2">
        <v>672</v>
      </c>
      <c r="C418" s="1">
        <f>(teraterm[[#This Row],[Value(V)]]+$K$2)*$S$2</f>
        <v>449.25573730468756</v>
      </c>
      <c r="D418" s="1">
        <f>(MOD(teraterm[[#This Row],[Column2]],4096)-Q$4)*$S$3*1000</f>
        <v>126.953125</v>
      </c>
      <c r="E418" s="1">
        <f>IF(ABS(VALUE(teraterm[[#This Row],[Column1]]))&lt;4095,VALUE(teraterm[[#This Row],[Column1]]),0)</f>
        <v>4023</v>
      </c>
      <c r="F418" s="1">
        <f>teraterm[[#This Row],[V(V)]]^2</f>
        <v>201830.71750117844</v>
      </c>
    </row>
    <row r="419" spans="1:6" x14ac:dyDescent="0.25">
      <c r="A419" s="1" t="s">
        <v>176</v>
      </c>
      <c r="B419" s="2">
        <v>652</v>
      </c>
      <c r="C419" s="1">
        <f>(teraterm[[#This Row],[Value(V)]]+$K$2)*$S$2</f>
        <v>449.14428710937506</v>
      </c>
      <c r="D419" s="1">
        <f>(MOD(teraterm[[#This Row],[Column2]],4096)-Q$4)*$S$3*1000</f>
        <v>118.81510416666666</v>
      </c>
      <c r="E419" s="1">
        <f>IF(ABS(VALUE(teraterm[[#This Row],[Column1]]))&lt;4095,VALUE(teraterm[[#This Row],[Column1]]),0)</f>
        <v>4022</v>
      </c>
      <c r="F419" s="1">
        <f>teraterm[[#This Row],[V(V)]]^2</f>
        <v>201730.59064298874</v>
      </c>
    </row>
    <row r="420" spans="1:6" x14ac:dyDescent="0.25">
      <c r="A420" s="1" t="s">
        <v>183</v>
      </c>
      <c r="B420" s="2">
        <v>648</v>
      </c>
      <c r="C420" s="1">
        <f>(teraterm[[#This Row],[Value(V)]]+$K$2)*$S$2</f>
        <v>445.24353027343756</v>
      </c>
      <c r="D420" s="1">
        <f>(MOD(teraterm[[#This Row],[Column2]],4096)-Q$4)*$S$3*1000</f>
        <v>117.18749999999999</v>
      </c>
      <c r="E420" s="1">
        <f>IF(ABS(VALUE(teraterm[[#This Row],[Column1]]))&lt;4095,VALUE(teraterm[[#This Row],[Column1]]),0)</f>
        <v>3987</v>
      </c>
      <c r="F420" s="1">
        <f>teraterm[[#This Row],[V(V)]]^2</f>
        <v>198241.80125035351</v>
      </c>
    </row>
    <row r="421" spans="1:6" x14ac:dyDescent="0.25">
      <c r="A421" s="1" t="s">
        <v>184</v>
      </c>
      <c r="B421" s="2">
        <v>617</v>
      </c>
      <c r="C421" s="1">
        <f>(teraterm[[#This Row],[Value(V)]]+$K$2)*$S$2</f>
        <v>430.75500488281256</v>
      </c>
      <c r="D421" s="1">
        <f>(MOD(teraterm[[#This Row],[Column2]],4096)-Q$4)*$S$3*1000</f>
        <v>104.57356770833333</v>
      </c>
      <c r="E421" s="1">
        <f>IF(ABS(VALUE(teraterm[[#This Row],[Column1]]))&lt;4095,VALUE(teraterm[[#This Row],[Column1]]),0)</f>
        <v>3857</v>
      </c>
      <c r="F421" s="1">
        <f>teraterm[[#This Row],[V(V)]]^2</f>
        <v>185549.87423159188</v>
      </c>
    </row>
    <row r="422" spans="1:6" x14ac:dyDescent="0.25">
      <c r="A422" s="1" t="s">
        <v>185</v>
      </c>
      <c r="B422" s="2">
        <v>579</v>
      </c>
      <c r="C422" s="1">
        <f>(teraterm[[#This Row],[Value(V)]]+$K$2)*$S$2</f>
        <v>408.24206542968756</v>
      </c>
      <c r="D422" s="1">
        <f>(MOD(teraterm[[#This Row],[Column2]],4096)-Q$4)*$S$3*1000</f>
        <v>89.111328124999986</v>
      </c>
      <c r="E422" s="1">
        <f>IF(ABS(VALUE(teraterm[[#This Row],[Column1]]))&lt;4095,VALUE(teraterm[[#This Row],[Column1]]),0)</f>
        <v>3655</v>
      </c>
      <c r="F422" s="1">
        <f>teraterm[[#This Row],[V(V)]]^2</f>
        <v>166661.58398629731</v>
      </c>
    </row>
    <row r="423" spans="1:6" x14ac:dyDescent="0.25">
      <c r="A423" s="1" t="s">
        <v>186</v>
      </c>
      <c r="B423" s="2">
        <v>541</v>
      </c>
      <c r="C423" s="1">
        <f>(teraterm[[#This Row],[Value(V)]]+$K$2)*$S$2</f>
        <v>387.17797851562506</v>
      </c>
      <c r="D423" s="1">
        <f>(MOD(teraterm[[#This Row],[Column2]],4096)-Q$4)*$S$3*1000</f>
        <v>73.649088541666657</v>
      </c>
      <c r="E423" s="1">
        <f>IF(ABS(VALUE(teraterm[[#This Row],[Column1]]))&lt;4095,VALUE(teraterm[[#This Row],[Column1]]),0)</f>
        <v>3466</v>
      </c>
      <c r="F423" s="1">
        <f>teraterm[[#This Row],[V(V)]]^2</f>
        <v>149906.78704744583</v>
      </c>
    </row>
    <row r="424" spans="1:6" x14ac:dyDescent="0.25">
      <c r="A424" s="1" t="s">
        <v>187</v>
      </c>
      <c r="B424" s="2">
        <v>524</v>
      </c>
      <c r="C424" s="1">
        <f>(teraterm[[#This Row],[Value(V)]]+$K$2)*$S$2</f>
        <v>364.99938964843756</v>
      </c>
      <c r="D424" s="1">
        <f>(MOD(teraterm[[#This Row],[Column2]],4096)-Q$4)*$S$3*1000</f>
        <v>66.731770833333329</v>
      </c>
      <c r="E424" s="1">
        <f>IF(ABS(VALUE(teraterm[[#This Row],[Column1]]))&lt;4095,VALUE(teraterm[[#This Row],[Column1]]),0)</f>
        <v>3267</v>
      </c>
      <c r="F424" s="1">
        <f>teraterm[[#This Row],[V(V)]]^2</f>
        <v>133224.55444373193</v>
      </c>
    </row>
    <row r="425" spans="1:6" x14ac:dyDescent="0.25">
      <c r="A425" s="1" t="s">
        <v>188</v>
      </c>
      <c r="B425" s="2">
        <v>467</v>
      </c>
      <c r="C425" s="1">
        <f>(teraterm[[#This Row],[Value(V)]]+$K$2)*$S$2</f>
        <v>338.58569335937506</v>
      </c>
      <c r="D425" s="1">
        <f>(MOD(teraterm[[#This Row],[Column2]],4096)-Q$4)*$S$3*1000</f>
        <v>43.538411458333329</v>
      </c>
      <c r="E425" s="1">
        <f>IF(ABS(VALUE(teraterm[[#This Row],[Column1]]))&lt;4095,VALUE(teraterm[[#This Row],[Column1]]),0)</f>
        <v>3030</v>
      </c>
      <c r="F425" s="1">
        <f>teraterm[[#This Row],[V(V)]]^2</f>
        <v>114640.27174764876</v>
      </c>
    </row>
    <row r="426" spans="1:6" x14ac:dyDescent="0.25">
      <c r="A426" s="1" t="s">
        <v>189</v>
      </c>
      <c r="B426" s="2">
        <v>427</v>
      </c>
      <c r="C426" s="1">
        <f>(teraterm[[#This Row],[Value(V)]]+$K$2)*$S$2</f>
        <v>311.72619628906256</v>
      </c>
      <c r="D426" s="1">
        <f>(MOD(teraterm[[#This Row],[Column2]],4096)-Q$4)*$S$3*1000</f>
        <v>27.262369791666664</v>
      </c>
      <c r="E426" s="1">
        <f>IF(ABS(VALUE(teraterm[[#This Row],[Column1]]))&lt;4095,VALUE(teraterm[[#This Row],[Column1]]),0)</f>
        <v>2789</v>
      </c>
      <c r="F426" s="1">
        <f>teraterm[[#This Row],[V(V)]]^2</f>
        <v>97173.221452847152</v>
      </c>
    </row>
    <row r="427" spans="1:6" x14ac:dyDescent="0.25">
      <c r="A427" s="1" t="s">
        <v>190</v>
      </c>
      <c r="B427" s="2">
        <v>382</v>
      </c>
      <c r="C427" s="1">
        <f>(teraterm[[#This Row],[Value(V)]]+$K$2)*$S$2</f>
        <v>283.52929687500006</v>
      </c>
      <c r="D427" s="1">
        <f>(MOD(teraterm[[#This Row],[Column2]],4096)-Q$4)*$S$3*1000</f>
        <v>8.9518229166666661</v>
      </c>
      <c r="E427" s="1">
        <f>IF(ABS(VALUE(teraterm[[#This Row],[Column1]]))&lt;4095,VALUE(teraterm[[#This Row],[Column1]]),0)</f>
        <v>2536</v>
      </c>
      <c r="F427" s="1">
        <f>teraterm[[#This Row],[V(V)]]^2</f>
        <v>80388.862186431914</v>
      </c>
    </row>
    <row r="428" spans="1:6" x14ac:dyDescent="0.25">
      <c r="A428" s="1" t="s">
        <v>191</v>
      </c>
      <c r="B428" s="2">
        <v>351</v>
      </c>
      <c r="C428" s="1">
        <f>(teraterm[[#This Row],[Value(V)]]+$K$2)*$S$2</f>
        <v>252.21179199218753</v>
      </c>
      <c r="D428" s="1">
        <f>(MOD(teraterm[[#This Row],[Column2]],4096)-Q$4)*$S$3*1000</f>
        <v>-3.6621093749999996</v>
      </c>
      <c r="E428" s="1">
        <f>IF(ABS(VALUE(teraterm[[#This Row],[Column1]]))&lt;4095,VALUE(teraterm[[#This Row],[Column1]]),0)</f>
        <v>2255</v>
      </c>
      <c r="F428" s="1">
        <f>teraterm[[#This Row],[V(V)]]^2</f>
        <v>63610.788019910469</v>
      </c>
    </row>
    <row r="429" spans="1:6" x14ac:dyDescent="0.25">
      <c r="A429" s="1" t="s">
        <v>192</v>
      </c>
      <c r="B429" s="2">
        <v>302</v>
      </c>
      <c r="C429" s="1">
        <f>(teraterm[[#This Row],[Value(V)]]+$K$2)*$S$2</f>
        <v>220.22558593750003</v>
      </c>
      <c r="D429" s="1">
        <f>(MOD(teraterm[[#This Row],[Column2]],4096)-Q$4)*$S$3*1000</f>
        <v>-23.600260416666664</v>
      </c>
      <c r="E429" s="1">
        <f>IF(ABS(VALUE(teraterm[[#This Row],[Column1]]))&lt;4095,VALUE(teraterm[[#This Row],[Column1]]),0)</f>
        <v>1968</v>
      </c>
      <c r="F429" s="1">
        <f>teraterm[[#This Row],[V(V)]]^2</f>
        <v>48499.308701515212</v>
      </c>
    </row>
    <row r="430" spans="1:6" x14ac:dyDescent="0.25">
      <c r="A430" s="1" t="s">
        <v>193</v>
      </c>
      <c r="B430" s="2">
        <v>253</v>
      </c>
      <c r="C430" s="1">
        <f>(teraterm[[#This Row],[Value(V)]]+$K$2)*$S$2</f>
        <v>192.02868652343753</v>
      </c>
      <c r="D430" s="1">
        <f>(MOD(teraterm[[#This Row],[Column2]],4096)-Q$4)*$S$3*1000</f>
        <v>-43.538411458333329</v>
      </c>
      <c r="E430" s="1">
        <f>IF(ABS(VALUE(teraterm[[#This Row],[Column1]]))&lt;4095,VALUE(teraterm[[#This Row],[Column1]]),0)</f>
        <v>1715</v>
      </c>
      <c r="F430" s="1">
        <f>teraterm[[#This Row],[V(V)]]^2</f>
        <v>36875.016447916641</v>
      </c>
    </row>
    <row r="431" spans="1:6" x14ac:dyDescent="0.25">
      <c r="A431" s="1" t="s">
        <v>194</v>
      </c>
      <c r="B431" s="2">
        <v>208</v>
      </c>
      <c r="C431" s="1">
        <f>(teraterm[[#This Row],[Value(V)]]+$K$2)*$S$2</f>
        <v>164.05468750000003</v>
      </c>
      <c r="D431" s="1">
        <f>(MOD(teraterm[[#This Row],[Column2]],4096)-Q$4)*$S$3*1000</f>
        <v>-61.848958333333329</v>
      </c>
      <c r="E431" s="1">
        <f>IF(ABS(VALUE(teraterm[[#This Row],[Column1]]))&lt;4095,VALUE(teraterm[[#This Row],[Column1]]),0)</f>
        <v>1464</v>
      </c>
      <c r="F431" s="1">
        <f>teraterm[[#This Row],[V(V)]]^2</f>
        <v>26913.940490722667</v>
      </c>
    </row>
    <row r="432" spans="1:6" x14ac:dyDescent="0.25">
      <c r="A432" s="1" t="s">
        <v>195</v>
      </c>
      <c r="B432" s="2">
        <v>153</v>
      </c>
      <c r="C432" s="1">
        <f>(teraterm[[#This Row],[Value(V)]]+$K$2)*$S$2</f>
        <v>136.52648925781253</v>
      </c>
      <c r="D432" s="1">
        <f>(MOD(teraterm[[#This Row],[Column2]],4096)-Q$4)*$S$3*1000</f>
        <v>-84.228515624999986</v>
      </c>
      <c r="E432" s="1">
        <f>IF(ABS(VALUE(teraterm[[#This Row],[Column1]]))&lt;4095,VALUE(teraterm[[#This Row],[Column1]]),0)</f>
        <v>1217</v>
      </c>
      <c r="F432" s="1">
        <f>teraterm[[#This Row],[V(V)]]^2</f>
        <v>18639.482269063599</v>
      </c>
    </row>
    <row r="433" spans="1:6" x14ac:dyDescent="0.25">
      <c r="A433" s="1" t="s">
        <v>196</v>
      </c>
      <c r="B433" s="2">
        <v>100</v>
      </c>
      <c r="C433" s="1">
        <f>(teraterm[[#This Row],[Value(V)]]+$K$2)*$S$2</f>
        <v>111.45019531250001</v>
      </c>
      <c r="D433" s="1">
        <f>(MOD(teraterm[[#This Row],[Column2]],4096)-Q$4)*$S$3*1000</f>
        <v>-105.79427083333333</v>
      </c>
      <c r="E433" s="1">
        <f>IF(ABS(VALUE(teraterm[[#This Row],[Column1]]))&lt;4095,VALUE(teraterm[[#This Row],[Column1]]),0)</f>
        <v>992</v>
      </c>
      <c r="F433" s="1">
        <f>teraterm[[#This Row],[V(V)]]^2</f>
        <v>12421.146035194401</v>
      </c>
    </row>
    <row r="434" spans="1:6" x14ac:dyDescent="0.25">
      <c r="A434" s="1" t="s">
        <v>197</v>
      </c>
      <c r="B434" s="2">
        <v>51</v>
      </c>
      <c r="C434" s="1">
        <f>(teraterm[[#This Row],[Value(V)]]+$K$2)*$S$2</f>
        <v>87.934204101562514</v>
      </c>
      <c r="D434" s="1">
        <f>(MOD(teraterm[[#This Row],[Column2]],4096)-Q$4)*$S$3*1000</f>
        <v>-125.732421875</v>
      </c>
      <c r="E434" s="1">
        <f>IF(ABS(VALUE(teraterm[[#This Row],[Column1]]))&lt;4095,VALUE(teraterm[[#This Row],[Column1]]),0)</f>
        <v>781</v>
      </c>
      <c r="F434" s="1">
        <f>teraterm[[#This Row],[V(V)]]^2</f>
        <v>7732.4242509752539</v>
      </c>
    </row>
    <row r="435" spans="1:6" x14ac:dyDescent="0.25">
      <c r="A435" s="1" t="s">
        <v>198</v>
      </c>
      <c r="B435" s="2">
        <v>4080</v>
      </c>
      <c r="C435" s="1">
        <f>(teraterm[[#This Row],[Value(V)]]+$K$2)*$S$2</f>
        <v>65.755615234375014</v>
      </c>
      <c r="D435" s="1">
        <f>(MOD(teraterm[[#This Row],[Column2]],4096)-Q$4)*$S$3*1000</f>
        <v>1513.6718749999998</v>
      </c>
      <c r="E435" s="1">
        <f>IF(ABS(VALUE(teraterm[[#This Row],[Column1]]))&lt;4095,VALUE(teraterm[[#This Row],[Column1]]),0)</f>
        <v>582</v>
      </c>
      <c r="F435" s="1">
        <f>teraterm[[#This Row],[V(V)]]^2</f>
        <v>4323.8009348511714</v>
      </c>
    </row>
    <row r="436" spans="1:6" x14ac:dyDescent="0.25">
      <c r="A436" s="1" t="s">
        <v>199</v>
      </c>
      <c r="B436" s="2">
        <v>4024</v>
      </c>
      <c r="C436" s="1">
        <f>(teraterm[[#This Row],[Value(V)]]+$K$2)*$S$2</f>
        <v>49.149536132812507</v>
      </c>
      <c r="D436" s="1">
        <f>(MOD(teraterm[[#This Row],[Column2]],4096)-Q$4)*$S$3*1000</f>
        <v>1490.8854166666665</v>
      </c>
      <c r="E436" s="1">
        <f>IF(ABS(VALUE(teraterm[[#This Row],[Column1]]))&lt;4095,VALUE(teraterm[[#This Row],[Column1]]),0)</f>
        <v>433</v>
      </c>
      <c r="F436" s="1">
        <f>teraterm[[#This Row],[V(V)]]^2</f>
        <v>2415.6769020706424</v>
      </c>
    </row>
    <row r="437" spans="1:6" x14ac:dyDescent="0.25">
      <c r="A437" s="1" t="s">
        <v>200</v>
      </c>
      <c r="B437" s="2">
        <v>4000</v>
      </c>
      <c r="C437" s="1">
        <f>(teraterm[[#This Row],[Value(V)]]+$K$2)*$S$2</f>
        <v>37.112915039062507</v>
      </c>
      <c r="D437" s="1">
        <f>(MOD(teraterm[[#This Row],[Column2]],4096)-Q$4)*$S$3*1000</f>
        <v>1481.1197916666665</v>
      </c>
      <c r="E437" s="1">
        <f>IF(ABS(VALUE(teraterm[[#This Row],[Column1]]))&lt;4095,VALUE(teraterm[[#This Row],[Column1]]),0)</f>
        <v>325</v>
      </c>
      <c r="F437" s="1">
        <f>teraterm[[#This Row],[V(V)]]^2</f>
        <v>1377.3684626966719</v>
      </c>
    </row>
    <row r="438" spans="1:6" x14ac:dyDescent="0.25">
      <c r="A438" s="1" t="s">
        <v>201</v>
      </c>
      <c r="B438" s="2">
        <v>3981</v>
      </c>
      <c r="C438" s="1">
        <f>(teraterm[[#This Row],[Value(V)]]+$K$2)*$S$2</f>
        <v>31.094604492187504</v>
      </c>
      <c r="D438" s="1">
        <f>(MOD(teraterm[[#This Row],[Column2]],4096)-Q$4)*$S$3*1000</f>
        <v>1473.3886718749998</v>
      </c>
      <c r="E438" s="1">
        <f>IF(ABS(VALUE(teraterm[[#This Row],[Column1]]))&lt;4095,VALUE(teraterm[[#This Row],[Column1]]),0)</f>
        <v>271</v>
      </c>
      <c r="F438" s="1">
        <f>teraterm[[#This Row],[V(V)]]^2</f>
        <v>966.87442852556728</v>
      </c>
    </row>
    <row r="439" spans="1:6" x14ac:dyDescent="0.25">
      <c r="A439" s="1" t="s">
        <v>76</v>
      </c>
      <c r="B439" s="2">
        <v>3989</v>
      </c>
      <c r="C439" s="1">
        <f>(teraterm[[#This Row],[Value(V)]]+$K$2)*$S$2</f>
        <v>29.199951171875004</v>
      </c>
      <c r="D439" s="1">
        <f>(MOD(teraterm[[#This Row],[Column2]],4096)-Q$4)*$S$3*1000</f>
        <v>1476.6438802083333</v>
      </c>
      <c r="E439" s="1">
        <f>IF(ABS(VALUE(teraterm[[#This Row],[Column1]]))&lt;4095,VALUE(teraterm[[#This Row],[Column1]]),0)</f>
        <v>254</v>
      </c>
      <c r="F439" s="1">
        <f>teraterm[[#This Row],[V(V)]]^2</f>
        <v>852.63714843988441</v>
      </c>
    </row>
    <row r="440" spans="1:6" x14ac:dyDescent="0.25">
      <c r="A440" s="1" t="s">
        <v>22</v>
      </c>
      <c r="B440" s="2">
        <v>3980</v>
      </c>
      <c r="C440" s="1">
        <f>(teraterm[[#This Row],[Value(V)]]+$K$2)*$S$2</f>
        <v>28.308349609375004</v>
      </c>
      <c r="D440" s="1">
        <f>(MOD(teraterm[[#This Row],[Column2]],4096)-Q$4)*$S$3*1000</f>
        <v>1472.9817708333333</v>
      </c>
      <c r="E440" s="1">
        <f>IF(ABS(VALUE(teraterm[[#This Row],[Column1]]))&lt;4095,VALUE(teraterm[[#This Row],[Column1]]),0)</f>
        <v>246</v>
      </c>
      <c r="F440" s="1">
        <f>teraterm[[#This Row],[V(V)]]^2</f>
        <v>801.36265760660194</v>
      </c>
    </row>
    <row r="441" spans="1:6" x14ac:dyDescent="0.25">
      <c r="A441" s="1" t="s">
        <v>28</v>
      </c>
      <c r="B441" s="2">
        <v>3979</v>
      </c>
      <c r="C441" s="1">
        <f>(teraterm[[#This Row],[Value(V)]]+$K$2)*$S$2</f>
        <v>28.531250000000004</v>
      </c>
      <c r="D441" s="1">
        <f>(MOD(teraterm[[#This Row],[Column2]],4096)-Q$4)*$S$3*1000</f>
        <v>1472.5748697916665</v>
      </c>
      <c r="E441" s="1">
        <f>IF(ABS(VALUE(teraterm[[#This Row],[Column1]]))&lt;4095,VALUE(teraterm[[#This Row],[Column1]]),0)</f>
        <v>248</v>
      </c>
      <c r="F441" s="1">
        <f>teraterm[[#This Row],[V(V)]]^2</f>
        <v>814.03222656250023</v>
      </c>
    </row>
    <row r="442" spans="1:6" x14ac:dyDescent="0.25">
      <c r="A442" s="1" t="s">
        <v>202</v>
      </c>
      <c r="B442" s="2">
        <v>3996</v>
      </c>
      <c r="C442" s="1">
        <f>(teraterm[[#This Row],[Value(V)]]+$K$2)*$S$2</f>
        <v>31.540405273437504</v>
      </c>
      <c r="D442" s="1">
        <f>(MOD(teraterm[[#This Row],[Column2]],4096)-Q$4)*$S$3*1000</f>
        <v>1479.4921874999998</v>
      </c>
      <c r="E442" s="1">
        <f>IF(ABS(VALUE(teraterm[[#This Row],[Column1]]))&lt;4095,VALUE(teraterm[[#This Row],[Column1]]),0)</f>
        <v>275</v>
      </c>
      <c r="F442" s="1">
        <f>teraterm[[#This Row],[V(V)]]^2</f>
        <v>994.79716481268429</v>
      </c>
    </row>
    <row r="443" spans="1:6" x14ac:dyDescent="0.25">
      <c r="A443" s="1" t="s">
        <v>203</v>
      </c>
      <c r="B443" s="2">
        <v>4041</v>
      </c>
      <c r="C443" s="1">
        <f>(teraterm[[#This Row],[Value(V)]]+$K$2)*$S$2</f>
        <v>43.354125976562507</v>
      </c>
      <c r="D443" s="1">
        <f>(MOD(teraterm[[#This Row],[Column2]],4096)-Q$4)*$S$3*1000</f>
        <v>1497.8027343749998</v>
      </c>
      <c r="E443" s="1">
        <f>IF(ABS(VALUE(teraterm[[#This Row],[Column1]]))&lt;4095,VALUE(teraterm[[#This Row],[Column1]]),0)</f>
        <v>381</v>
      </c>
      <c r="F443" s="1">
        <f>teraterm[[#This Row],[V(V)]]^2</f>
        <v>1879.580239191652</v>
      </c>
    </row>
    <row r="444" spans="1:6" x14ac:dyDescent="0.25">
      <c r="A444" s="1" t="s">
        <v>204</v>
      </c>
      <c r="B444" s="2">
        <v>10</v>
      </c>
      <c r="C444" s="1">
        <f>(teraterm[[#This Row],[Value(V)]]+$K$2)*$S$2</f>
        <v>66.312866210937514</v>
      </c>
      <c r="D444" s="1">
        <f>(MOD(teraterm[[#This Row],[Column2]],4096)-Q$4)*$S$3*1000</f>
        <v>-142.41536458333331</v>
      </c>
      <c r="E444" s="1">
        <f>IF(ABS(VALUE(teraterm[[#This Row],[Column1]]))&lt;4095,VALUE(teraterm[[#This Row],[Column1]]),0)</f>
        <v>587</v>
      </c>
      <c r="F444" s="1">
        <f>teraterm[[#This Row],[V(V)]]^2</f>
        <v>4397.3962251096982</v>
      </c>
    </row>
    <row r="445" spans="1:6" x14ac:dyDescent="0.25">
      <c r="A445" s="1" t="s">
        <v>205</v>
      </c>
      <c r="B445" s="2">
        <v>63</v>
      </c>
      <c r="C445" s="1">
        <f>(teraterm[[#This Row],[Value(V)]]+$K$2)*$S$2</f>
        <v>88.714355468750014</v>
      </c>
      <c r="D445" s="1">
        <f>(MOD(teraterm[[#This Row],[Column2]],4096)-Q$4)*$S$3*1000</f>
        <v>-120.84960937499999</v>
      </c>
      <c r="E445" s="1">
        <f>IF(ABS(VALUE(teraterm[[#This Row],[Column1]]))&lt;4095,VALUE(teraterm[[#This Row],[Column1]]),0)</f>
        <v>788</v>
      </c>
      <c r="F445" s="1">
        <f>teraterm[[#This Row],[V(V)]]^2</f>
        <v>7870.2368662357358</v>
      </c>
    </row>
    <row r="446" spans="1:6" x14ac:dyDescent="0.25">
      <c r="A446" s="1" t="s">
        <v>196</v>
      </c>
      <c r="B446" s="2">
        <v>126</v>
      </c>
      <c r="C446" s="1">
        <f>(teraterm[[#This Row],[Value(V)]]+$K$2)*$S$2</f>
        <v>111.45019531250001</v>
      </c>
      <c r="D446" s="1">
        <f>(MOD(teraterm[[#This Row],[Column2]],4096)-Q$4)*$S$3*1000</f>
        <v>-95.214843749999986</v>
      </c>
      <c r="E446" s="1">
        <f>IF(ABS(VALUE(teraterm[[#This Row],[Column1]]))&lt;4095,VALUE(teraterm[[#This Row],[Column1]]),0)</f>
        <v>992</v>
      </c>
      <c r="F446" s="1">
        <f>teraterm[[#This Row],[V(V)]]^2</f>
        <v>12421.146035194401</v>
      </c>
    </row>
    <row r="447" spans="1:6" x14ac:dyDescent="0.25">
      <c r="A447" s="1" t="s">
        <v>206</v>
      </c>
      <c r="B447" s="2">
        <v>167</v>
      </c>
      <c r="C447" s="1">
        <f>(teraterm[[#This Row],[Value(V)]]+$K$2)*$S$2</f>
        <v>137.97534179687503</v>
      </c>
      <c r="D447" s="1">
        <f>(MOD(teraterm[[#This Row],[Column2]],4096)-Q$4)*$S$3*1000</f>
        <v>-78.531901041666657</v>
      </c>
      <c r="E447" s="1">
        <f>IF(ABS(VALUE(teraterm[[#This Row],[Column1]]))&lt;4095,VALUE(teraterm[[#This Row],[Column1]]),0)</f>
        <v>1230</v>
      </c>
      <c r="F447" s="1">
        <f>teraterm[[#This Row],[V(V)]]^2</f>
        <v>19037.194943964489</v>
      </c>
    </row>
    <row r="448" spans="1:6" x14ac:dyDescent="0.25">
      <c r="A448" s="1" t="s">
        <v>207</v>
      </c>
      <c r="B448" s="2">
        <v>225</v>
      </c>
      <c r="C448" s="1">
        <f>(teraterm[[#This Row],[Value(V)]]+$K$2)*$S$2</f>
        <v>165.39208984375003</v>
      </c>
      <c r="D448" s="1">
        <f>(MOD(teraterm[[#This Row],[Column2]],4096)-Q$4)*$S$3*1000</f>
        <v>-54.931640624999993</v>
      </c>
      <c r="E448" s="1">
        <f>IF(ABS(VALUE(teraterm[[#This Row],[Column1]]))&lt;4095,VALUE(teraterm[[#This Row],[Column1]]),0)</f>
        <v>1476</v>
      </c>
      <c r="F448" s="1">
        <f>teraterm[[#This Row],[V(V)]]^2</f>
        <v>27354.543382883083</v>
      </c>
    </row>
    <row r="449" spans="1:6" x14ac:dyDescent="0.25">
      <c r="A449" s="1" t="s">
        <v>208</v>
      </c>
      <c r="B449" s="2">
        <v>266</v>
      </c>
      <c r="C449" s="1">
        <f>(teraterm[[#This Row],[Value(V)]]+$K$2)*$S$2</f>
        <v>193.36608886718753</v>
      </c>
      <c r="D449" s="1">
        <f>(MOD(teraterm[[#This Row],[Column2]],4096)-Q$4)*$S$3*1000</f>
        <v>-38.248697916666664</v>
      </c>
      <c r="E449" s="1">
        <f>IF(ABS(VALUE(teraterm[[#This Row],[Column1]]))&lt;4095,VALUE(teraterm[[#This Row],[Column1]]),0)</f>
        <v>1727</v>
      </c>
      <c r="F449" s="1">
        <f>teraterm[[#This Row],[V(V)]]^2</f>
        <v>37390.444323793068</v>
      </c>
    </row>
    <row r="450" spans="1:6" x14ac:dyDescent="0.25">
      <c r="A450" s="1" t="s">
        <v>209</v>
      </c>
      <c r="B450" s="2">
        <v>299</v>
      </c>
      <c r="C450" s="1">
        <f>(teraterm[[#This Row],[Value(V)]]+$K$2)*$S$2</f>
        <v>223.90344238281253</v>
      </c>
      <c r="D450" s="1">
        <f>(MOD(teraterm[[#This Row],[Column2]],4096)-Q$4)*$S$3*1000</f>
        <v>-24.820963541666664</v>
      </c>
      <c r="E450" s="1">
        <f>IF(ABS(VALUE(teraterm[[#This Row],[Column1]]))&lt;4095,VALUE(teraterm[[#This Row],[Column1]]),0)</f>
        <v>2001</v>
      </c>
      <c r="F450" s="1">
        <f>teraterm[[#This Row],[V(V)]]^2</f>
        <v>50132.751510873451</v>
      </c>
    </row>
    <row r="451" spans="1:6" x14ac:dyDescent="0.25">
      <c r="A451" s="1" t="s">
        <v>210</v>
      </c>
      <c r="B451" s="2">
        <v>355</v>
      </c>
      <c r="C451" s="1">
        <f>(teraterm[[#This Row],[Value(V)]]+$K$2)*$S$2</f>
        <v>254.99804687500003</v>
      </c>
      <c r="D451" s="1">
        <f>(MOD(teraterm[[#This Row],[Column2]],4096)-Q$4)*$S$3*1000</f>
        <v>-2.034505208333333</v>
      </c>
      <c r="E451" s="1">
        <f>IF(ABS(VALUE(teraterm[[#This Row],[Column1]]))&lt;4095,VALUE(teraterm[[#This Row],[Column1]]),0)</f>
        <v>2280</v>
      </c>
      <c r="F451" s="1">
        <f>teraterm[[#This Row],[V(V)]]^2</f>
        <v>65024.003910064712</v>
      </c>
    </row>
    <row r="452" spans="1:6" x14ac:dyDescent="0.25">
      <c r="A452" s="1" t="s">
        <v>211</v>
      </c>
      <c r="B452" s="2">
        <v>409</v>
      </c>
      <c r="C452" s="1">
        <f>(teraterm[[#This Row],[Value(V)]]+$K$2)*$S$2</f>
        <v>283.97509765625006</v>
      </c>
      <c r="D452" s="1">
        <f>(MOD(teraterm[[#This Row],[Column2]],4096)-Q$4)*$S$3*1000</f>
        <v>19.938151041666664</v>
      </c>
      <c r="E452" s="1">
        <f>IF(ABS(VALUE(teraterm[[#This Row],[Column1]]))&lt;4095,VALUE(teraterm[[#This Row],[Column1]]),0)</f>
        <v>2540</v>
      </c>
      <c r="F452" s="1">
        <f>teraterm[[#This Row],[V(V)]]^2</f>
        <v>80641.856088876753</v>
      </c>
    </row>
    <row r="453" spans="1:6" x14ac:dyDescent="0.25">
      <c r="A453" s="1" t="s">
        <v>212</v>
      </c>
      <c r="B453" s="2">
        <v>449</v>
      </c>
      <c r="C453" s="1">
        <f>(teraterm[[#This Row],[Value(V)]]+$K$2)*$S$2</f>
        <v>311.16894531250006</v>
      </c>
      <c r="D453" s="1">
        <f>(MOD(teraterm[[#This Row],[Column2]],4096)-Q$4)*$S$3*1000</f>
        <v>36.214192708333329</v>
      </c>
      <c r="E453" s="1">
        <f>IF(ABS(VALUE(teraterm[[#This Row],[Column1]]))&lt;4095,VALUE(teraterm[[#This Row],[Column1]]),0)</f>
        <v>2784</v>
      </c>
      <c r="F453" s="1">
        <f>teraterm[[#This Row],[V(V)]]^2</f>
        <v>96826.112526893645</v>
      </c>
    </row>
    <row r="454" spans="1:6" x14ac:dyDescent="0.25">
      <c r="A454" s="1" t="s">
        <v>213</v>
      </c>
      <c r="B454" s="2">
        <v>491</v>
      </c>
      <c r="C454" s="1">
        <f>(teraterm[[#This Row],[Value(V)]]+$K$2)*$S$2</f>
        <v>337.80554199218756</v>
      </c>
      <c r="D454" s="1">
        <f>(MOD(teraterm[[#This Row],[Column2]],4096)-Q$4)*$S$3*1000</f>
        <v>53.304036458333329</v>
      </c>
      <c r="E454" s="1">
        <f>IF(ABS(VALUE(teraterm[[#This Row],[Column1]]))&lt;4095,VALUE(teraterm[[#This Row],[Column1]]),0)</f>
        <v>3023</v>
      </c>
      <c r="F454" s="1">
        <f>teraterm[[#This Row],[V(V)]]^2</f>
        <v>114112.5842006356</v>
      </c>
    </row>
    <row r="455" spans="1:6" x14ac:dyDescent="0.25">
      <c r="A455" s="1" t="s">
        <v>214</v>
      </c>
      <c r="B455" s="2">
        <v>524</v>
      </c>
      <c r="C455" s="1">
        <f>(teraterm[[#This Row],[Value(V)]]+$K$2)*$S$2</f>
        <v>362.88183593750006</v>
      </c>
      <c r="D455" s="1">
        <f>(MOD(teraterm[[#This Row],[Column2]],4096)-Q$4)*$S$3*1000</f>
        <v>66.731770833333329</v>
      </c>
      <c r="E455" s="1">
        <f>IF(ABS(VALUE(teraterm[[#This Row],[Column1]]))&lt;4095,VALUE(teraterm[[#This Row],[Column1]]),0)</f>
        <v>3248</v>
      </c>
      <c r="F455" s="1">
        <f>teraterm[[#This Row],[V(V)]]^2</f>
        <v>131683.2268533707</v>
      </c>
    </row>
    <row r="456" spans="1:6" x14ac:dyDescent="0.25">
      <c r="A456" s="1" t="s">
        <v>215</v>
      </c>
      <c r="B456" s="2">
        <v>575</v>
      </c>
      <c r="C456" s="1">
        <f>(teraterm[[#This Row],[Value(V)]]+$K$2)*$S$2</f>
        <v>385.28332519531256</v>
      </c>
      <c r="D456" s="1">
        <f>(MOD(teraterm[[#This Row],[Column2]],4096)-Q$4)*$S$3*1000</f>
        <v>87.483723958333329</v>
      </c>
      <c r="E456" s="1">
        <f>IF(ABS(VALUE(teraterm[[#This Row],[Column1]]))&lt;4095,VALUE(teraterm[[#This Row],[Column1]]),0)</f>
        <v>3449</v>
      </c>
      <c r="F456" s="1">
        <f>teraterm[[#This Row],[V(V)]]^2</f>
        <v>148443.24067355698</v>
      </c>
    </row>
    <row r="457" spans="1:6" x14ac:dyDescent="0.25">
      <c r="A457" s="1" t="s">
        <v>216</v>
      </c>
      <c r="B457" s="2">
        <v>603</v>
      </c>
      <c r="C457" s="1">
        <f>(teraterm[[#This Row],[Value(V)]]+$K$2)*$S$2</f>
        <v>406.79321289062506</v>
      </c>
      <c r="D457" s="1">
        <f>(MOD(teraterm[[#This Row],[Column2]],4096)-Q$4)*$S$3*1000</f>
        <v>98.876953124999986</v>
      </c>
      <c r="E457" s="1">
        <f>IF(ABS(VALUE(teraterm[[#This Row],[Column1]]))&lt;4095,VALUE(teraterm[[#This Row],[Column1]]),0)</f>
        <v>3642</v>
      </c>
      <c r="F457" s="1">
        <f>teraterm[[#This Row],[V(V)]]^2</f>
        <v>165480.71805387741</v>
      </c>
    </row>
    <row r="458" spans="1:6" x14ac:dyDescent="0.25">
      <c r="A458" s="1" t="s">
        <v>217</v>
      </c>
      <c r="B458" s="2">
        <v>646</v>
      </c>
      <c r="C458" s="1">
        <f>(teraterm[[#This Row],[Value(V)]]+$K$2)*$S$2</f>
        <v>423.95654296875006</v>
      </c>
      <c r="D458" s="1">
        <f>(MOD(teraterm[[#This Row],[Column2]],4096)-Q$4)*$S$3*1000</f>
        <v>116.37369791666666</v>
      </c>
      <c r="E458" s="1">
        <f>IF(ABS(VALUE(teraterm[[#This Row],[Column1]]))&lt;4095,VALUE(teraterm[[#This Row],[Column1]]),0)</f>
        <v>3796</v>
      </c>
      <c r="F458" s="1">
        <f>teraterm[[#This Row],[V(V)]]^2</f>
        <v>179739.15032601362</v>
      </c>
    </row>
    <row r="459" spans="1:6" x14ac:dyDescent="0.25">
      <c r="A459" s="1" t="s">
        <v>218</v>
      </c>
      <c r="B459" s="2">
        <v>649</v>
      </c>
      <c r="C459" s="1">
        <f>(teraterm[[#This Row],[Value(V)]]+$K$2)*$S$2</f>
        <v>436.55041503906256</v>
      </c>
      <c r="D459" s="1">
        <f>(MOD(teraterm[[#This Row],[Column2]],4096)-Q$4)*$S$3*1000</f>
        <v>117.59440104166666</v>
      </c>
      <c r="E459" s="1">
        <f>IF(ABS(VALUE(teraterm[[#This Row],[Column1]]))&lt;4095,VALUE(teraterm[[#This Row],[Column1]]),0)</f>
        <v>3909</v>
      </c>
      <c r="F459" s="1">
        <f>teraterm[[#This Row],[V(V)]]^2</f>
        <v>190576.26487077778</v>
      </c>
    </row>
    <row r="460" spans="1:6" x14ac:dyDescent="0.25">
      <c r="A460" s="1" t="s">
        <v>219</v>
      </c>
      <c r="B460" s="2">
        <v>653</v>
      </c>
      <c r="C460" s="1">
        <f>(teraterm[[#This Row],[Value(V)]]+$K$2)*$S$2</f>
        <v>444.24047851562506</v>
      </c>
      <c r="D460" s="1">
        <f>(MOD(teraterm[[#This Row],[Column2]],4096)-Q$4)*$S$3*1000</f>
        <v>119.22200520833333</v>
      </c>
      <c r="E460" s="1">
        <f>IF(ABS(VALUE(teraterm[[#This Row],[Column1]]))&lt;4095,VALUE(teraterm[[#This Row],[Column1]]),0)</f>
        <v>3978</v>
      </c>
      <c r="F460" s="1">
        <f>teraterm[[#This Row],[V(V)]]^2</f>
        <v>197349.60275179154</v>
      </c>
    </row>
    <row r="461" spans="1:6" x14ac:dyDescent="0.25">
      <c r="A461" s="1" t="s">
        <v>220</v>
      </c>
      <c r="B461" s="2">
        <v>661</v>
      </c>
      <c r="C461" s="1">
        <f>(teraterm[[#This Row],[Value(V)]]+$K$2)*$S$2</f>
        <v>447.13818359375006</v>
      </c>
      <c r="D461" s="1">
        <f>(MOD(teraterm[[#This Row],[Column2]],4096)-Q$4)*$S$3*1000</f>
        <v>122.47721354166666</v>
      </c>
      <c r="E461" s="1">
        <f>IF(ABS(VALUE(teraterm[[#This Row],[Column1]]))&lt;4095,VALUE(teraterm[[#This Row],[Column1]]),0)</f>
        <v>4004</v>
      </c>
      <c r="F461" s="1">
        <f>teraterm[[#This Row],[V(V)]]^2</f>
        <v>199932.55522751814</v>
      </c>
    </row>
    <row r="462" spans="1:6" x14ac:dyDescent="0.25">
      <c r="A462" s="1" t="s">
        <v>221</v>
      </c>
      <c r="B462" s="2">
        <v>650</v>
      </c>
      <c r="C462" s="1">
        <f>(teraterm[[#This Row],[Value(V)]]+$K$2)*$S$2</f>
        <v>448.69848632812506</v>
      </c>
      <c r="D462" s="1">
        <f>(MOD(teraterm[[#This Row],[Column2]],4096)-Q$4)*$S$3*1000</f>
        <v>118.00130208333333</v>
      </c>
      <c r="E462" s="1">
        <f>IF(ABS(VALUE(teraterm[[#This Row],[Column1]]))&lt;4095,VALUE(teraterm[[#This Row],[Column1]]),0)</f>
        <v>4018</v>
      </c>
      <c r="F462" s="1">
        <f>teraterm[[#This Row],[V(V)]]^2</f>
        <v>201330.33163315064</v>
      </c>
    </row>
    <row r="463" spans="1:6" x14ac:dyDescent="0.25">
      <c r="A463" s="1" t="s">
        <v>29</v>
      </c>
      <c r="B463" s="2">
        <v>674</v>
      </c>
      <c r="C463" s="1">
        <f>(teraterm[[#This Row],[Value(V)]]+$K$2)*$S$2</f>
        <v>449.47863769531256</v>
      </c>
      <c r="D463" s="1">
        <f>(MOD(teraterm[[#This Row],[Column2]],4096)-Q$4)*$S$3*1000</f>
        <v>127.76692708333331</v>
      </c>
      <c r="E463" s="1">
        <f>IF(ABS(VALUE(teraterm[[#This Row],[Column1]]))&lt;4095,VALUE(teraterm[[#This Row],[Column1]]),0)</f>
        <v>4025</v>
      </c>
      <c r="F463" s="1">
        <f>teraterm[[#This Row],[V(V)]]^2</f>
        <v>202031.04574443406</v>
      </c>
    </row>
    <row r="464" spans="1:6" x14ac:dyDescent="0.25">
      <c r="A464" s="1" t="s">
        <v>222</v>
      </c>
      <c r="B464" s="2">
        <v>657</v>
      </c>
      <c r="C464" s="1">
        <f>(teraterm[[#This Row],[Value(V)]]+$K$2)*$S$2</f>
        <v>448.47558593750006</v>
      </c>
      <c r="D464" s="1">
        <f>(MOD(teraterm[[#This Row],[Column2]],4096)-Q$4)*$S$3*1000</f>
        <v>120.84960937499999</v>
      </c>
      <c r="E464" s="1">
        <f>IF(ABS(VALUE(teraterm[[#This Row],[Column1]]))&lt;4095,VALUE(teraterm[[#This Row],[Column1]]),0)</f>
        <v>4016</v>
      </c>
      <c r="F464" s="1">
        <f>teraterm[[#This Row],[V(V)]]^2</f>
        <v>201130.35118198401</v>
      </c>
    </row>
    <row r="465" spans="1:6" x14ac:dyDescent="0.25">
      <c r="A465" s="1" t="s">
        <v>52</v>
      </c>
      <c r="B465" s="2">
        <v>640</v>
      </c>
      <c r="C465" s="1">
        <f>(teraterm[[#This Row],[Value(V)]]+$K$2)*$S$2</f>
        <v>441.23132324218756</v>
      </c>
      <c r="D465" s="1">
        <f>(MOD(teraterm[[#This Row],[Column2]],4096)-Q$4)*$S$3*1000</f>
        <v>113.93229166666666</v>
      </c>
      <c r="E465" s="1">
        <f>IF(ABS(VALUE(teraterm[[#This Row],[Column1]]))&lt;4095,VALUE(teraterm[[#This Row],[Column1]]),0)</f>
        <v>3951</v>
      </c>
      <c r="F465" s="1">
        <f>teraterm[[#This Row],[V(V)]]^2</f>
        <v>194685.08061005181</v>
      </c>
    </row>
    <row r="466" spans="1:6" x14ac:dyDescent="0.25">
      <c r="A466" s="1" t="s">
        <v>223</v>
      </c>
      <c r="B466" s="2">
        <v>603</v>
      </c>
      <c r="C466" s="1">
        <f>(teraterm[[#This Row],[Value(V)]]+$K$2)*$S$2</f>
        <v>422.84204101562506</v>
      </c>
      <c r="D466" s="1">
        <f>(MOD(teraterm[[#This Row],[Column2]],4096)-Q$4)*$S$3*1000</f>
        <v>98.876953124999986</v>
      </c>
      <c r="E466" s="1">
        <f>IF(ABS(VALUE(teraterm[[#This Row],[Column1]]))&lt;4095,VALUE(teraterm[[#This Row],[Column1]]),0)</f>
        <v>3786</v>
      </c>
      <c r="F466" s="1">
        <f>teraterm[[#This Row],[V(V)]]^2</f>
        <v>178795.39165025955</v>
      </c>
    </row>
    <row r="467" spans="1:6" x14ac:dyDescent="0.25">
      <c r="A467" s="1" t="s">
        <v>224</v>
      </c>
      <c r="B467" s="2">
        <v>575</v>
      </c>
      <c r="C467" s="1">
        <f>(teraterm[[#This Row],[Value(V)]]+$K$2)*$S$2</f>
        <v>400.99780273437506</v>
      </c>
      <c r="D467" s="1">
        <f>(MOD(teraterm[[#This Row],[Column2]],4096)-Q$4)*$S$3*1000</f>
        <v>87.483723958333329</v>
      </c>
      <c r="E467" s="1">
        <f>IF(ABS(VALUE(teraterm[[#This Row],[Column1]]))&lt;4095,VALUE(teraterm[[#This Row],[Column1]]),0)</f>
        <v>3590</v>
      </c>
      <c r="F467" s="1">
        <f>teraterm[[#This Row],[V(V)]]^2</f>
        <v>160799.23779779678</v>
      </c>
    </row>
    <row r="468" spans="1:6" x14ac:dyDescent="0.25">
      <c r="A468" s="1" t="s">
        <v>225</v>
      </c>
      <c r="B468" s="2">
        <v>545</v>
      </c>
      <c r="C468" s="1">
        <f>(teraterm[[#This Row],[Value(V)]]+$K$2)*$S$2</f>
        <v>379.82226562500006</v>
      </c>
      <c r="D468" s="1">
        <f>(MOD(teraterm[[#This Row],[Column2]],4096)-Q$4)*$S$3*1000</f>
        <v>75.276692708333329</v>
      </c>
      <c r="E468" s="1">
        <f>IF(ABS(VALUE(teraterm[[#This Row],[Column1]]))&lt;4095,VALUE(teraterm[[#This Row],[Column1]]),0)</f>
        <v>3400</v>
      </c>
      <c r="F468" s="1">
        <f>teraterm[[#This Row],[V(V)]]^2</f>
        <v>144264.95346450809</v>
      </c>
    </row>
    <row r="469" spans="1:6" x14ac:dyDescent="0.25">
      <c r="A469" s="1" t="s">
        <v>226</v>
      </c>
      <c r="B469" s="2">
        <v>493</v>
      </c>
      <c r="C469" s="1">
        <f>(teraterm[[#This Row],[Value(V)]]+$K$2)*$S$2</f>
        <v>355.97192382812506</v>
      </c>
      <c r="D469" s="1">
        <f>(MOD(teraterm[[#This Row],[Column2]],4096)-Q$4)*$S$3*1000</f>
        <v>54.117838541666664</v>
      </c>
      <c r="E469" s="1">
        <f>IF(ABS(VALUE(teraterm[[#This Row],[Column1]]))&lt;4095,VALUE(teraterm[[#This Row],[Column1]]),0)</f>
        <v>3186</v>
      </c>
      <c r="F469" s="1">
        <f>teraterm[[#This Row],[V(V)]]^2</f>
        <v>126716.01055389647</v>
      </c>
    </row>
    <row r="470" spans="1:6" x14ac:dyDescent="0.25">
      <c r="A470" s="1" t="s">
        <v>227</v>
      </c>
      <c r="B470" s="2">
        <v>458</v>
      </c>
      <c r="C470" s="1">
        <f>(teraterm[[#This Row],[Value(V)]]+$K$2)*$S$2</f>
        <v>328.88952636718756</v>
      </c>
      <c r="D470" s="1">
        <f>(MOD(teraterm[[#This Row],[Column2]],4096)-Q$4)*$S$3*1000</f>
        <v>39.876302083333329</v>
      </c>
      <c r="E470" s="1">
        <f>IF(ABS(VALUE(teraterm[[#This Row],[Column1]]))&lt;4095,VALUE(teraterm[[#This Row],[Column1]]),0)</f>
        <v>2943</v>
      </c>
      <c r="F470" s="1">
        <f>teraterm[[#This Row],[V(V)]]^2</f>
        <v>108168.32055403297</v>
      </c>
    </row>
    <row r="471" spans="1:6" x14ac:dyDescent="0.25">
      <c r="A471" s="1" t="s">
        <v>228</v>
      </c>
      <c r="B471" s="2">
        <v>416</v>
      </c>
      <c r="C471" s="1">
        <f>(teraterm[[#This Row],[Value(V)]]+$K$2)*$S$2</f>
        <v>302.14147949218756</v>
      </c>
      <c r="D471" s="1">
        <f>(MOD(teraterm[[#This Row],[Column2]],4096)-Q$4)*$S$3*1000</f>
        <v>22.786458333333332</v>
      </c>
      <c r="E471" s="1">
        <f>IF(ABS(VALUE(teraterm[[#This Row],[Column1]]))&lt;4095,VALUE(teraterm[[#This Row],[Column1]]),0)</f>
        <v>2703</v>
      </c>
      <c r="F471" s="1">
        <f>teraterm[[#This Row],[V(V)]]^2</f>
        <v>91289.473629727989</v>
      </c>
    </row>
    <row r="472" spans="1:6" x14ac:dyDescent="0.25">
      <c r="A472" s="1" t="s">
        <v>229</v>
      </c>
      <c r="B472" s="2">
        <v>374</v>
      </c>
      <c r="C472" s="1">
        <f>(teraterm[[#This Row],[Value(V)]]+$K$2)*$S$2</f>
        <v>272.94152832031256</v>
      </c>
      <c r="D472" s="1">
        <f>(MOD(teraterm[[#This Row],[Column2]],4096)-Q$4)*$S$3*1000</f>
        <v>5.696614583333333</v>
      </c>
      <c r="E472" s="1">
        <f>IF(ABS(VALUE(teraterm[[#This Row],[Column1]]))&lt;4095,VALUE(teraterm[[#This Row],[Column1]]),0)</f>
        <v>2441</v>
      </c>
      <c r="F472" s="1">
        <f>teraterm[[#This Row],[V(V)]]^2</f>
        <v>74497.07788182798</v>
      </c>
    </row>
    <row r="473" spans="1:6" x14ac:dyDescent="0.25">
      <c r="A473" s="1" t="s">
        <v>230</v>
      </c>
      <c r="B473" s="2">
        <v>339</v>
      </c>
      <c r="C473" s="1">
        <f>(teraterm[[#This Row],[Value(V)]]+$K$2)*$S$2</f>
        <v>240.95532226562503</v>
      </c>
      <c r="D473" s="1">
        <f>(MOD(teraterm[[#This Row],[Column2]],4096)-Q$4)*$S$3*1000</f>
        <v>-8.544921875</v>
      </c>
      <c r="E473" s="1">
        <f>IF(ABS(VALUE(teraterm[[#This Row],[Column1]]))&lt;4095,VALUE(teraterm[[#This Row],[Column1]]),0)</f>
        <v>2154</v>
      </c>
      <c r="F473" s="1">
        <f>teraterm[[#This Row],[V(V)]]^2</f>
        <v>58059.467328131213</v>
      </c>
    </row>
    <row r="474" spans="1:6" x14ac:dyDescent="0.25">
      <c r="A474" s="1" t="s">
        <v>231</v>
      </c>
      <c r="B474" s="2">
        <v>283</v>
      </c>
      <c r="C474" s="1">
        <f>(teraterm[[#This Row],[Value(V)]]+$K$2)*$S$2</f>
        <v>210.08361816406253</v>
      </c>
      <c r="D474" s="1">
        <f>(MOD(teraterm[[#This Row],[Column2]],4096)-Q$4)*$S$3*1000</f>
        <v>-31.331380208333329</v>
      </c>
      <c r="E474" s="1">
        <f>IF(ABS(VALUE(teraterm[[#This Row],[Column1]]))&lt;4095,VALUE(teraterm[[#This Row],[Column1]]),0)</f>
        <v>1877</v>
      </c>
      <c r="F474" s="1">
        <f>teraterm[[#This Row],[V(V)]]^2</f>
        <v>44135.126620903626</v>
      </c>
    </row>
    <row r="475" spans="1:6" x14ac:dyDescent="0.25">
      <c r="A475" s="1" t="s">
        <v>232</v>
      </c>
      <c r="B475" s="2">
        <v>250</v>
      </c>
      <c r="C475" s="1">
        <f>(teraterm[[#This Row],[Value(V)]]+$K$2)*$S$2</f>
        <v>182.33251953125003</v>
      </c>
      <c r="D475" s="1">
        <f>(MOD(teraterm[[#This Row],[Column2]],4096)-Q$4)*$S$3*1000</f>
        <v>-44.759114583333329</v>
      </c>
      <c r="E475" s="1">
        <f>IF(ABS(VALUE(teraterm[[#This Row],[Column1]]))&lt;4095,VALUE(teraterm[[#This Row],[Column1]]),0)</f>
        <v>1628</v>
      </c>
      <c r="F475" s="1">
        <f>teraterm[[#This Row],[V(V)]]^2</f>
        <v>33245.14767861367</v>
      </c>
    </row>
    <row r="476" spans="1:6" x14ac:dyDescent="0.25">
      <c r="A476" s="1" t="s">
        <v>233</v>
      </c>
      <c r="B476" s="2">
        <v>204</v>
      </c>
      <c r="C476" s="1">
        <f>(teraterm[[#This Row],[Value(V)]]+$K$2)*$S$2</f>
        <v>154.24707031250003</v>
      </c>
      <c r="D476" s="1">
        <f>(MOD(teraterm[[#This Row],[Column2]],4096)-Q$4)*$S$3*1000</f>
        <v>-63.4765625</v>
      </c>
      <c r="E476" s="1">
        <f>IF(ABS(VALUE(teraterm[[#This Row],[Column1]]))&lt;4095,VALUE(teraterm[[#This Row],[Column1]]),0)</f>
        <v>1376</v>
      </c>
      <c r="F476" s="1">
        <f>teraterm[[#This Row],[V(V)]]^2</f>
        <v>23792.158699989326</v>
      </c>
    </row>
    <row r="477" spans="1:6" x14ac:dyDescent="0.25">
      <c r="A477" s="1" t="s">
        <v>234</v>
      </c>
      <c r="B477" s="2">
        <v>133</v>
      </c>
      <c r="C477" s="1">
        <f>(teraterm[[#This Row],[Value(V)]]+$K$2)*$S$2</f>
        <v>127.27612304687501</v>
      </c>
      <c r="D477" s="1">
        <f>(MOD(teraterm[[#This Row],[Column2]],4096)-Q$4)*$S$3*1000</f>
        <v>-92.366536458333329</v>
      </c>
      <c r="E477" s="1">
        <f>IF(ABS(VALUE(teraterm[[#This Row],[Column1]]))&lt;4095,VALUE(teraterm[[#This Row],[Column1]]),0)</f>
        <v>1134</v>
      </c>
      <c r="F477" s="1">
        <f>teraterm[[#This Row],[V(V)]]^2</f>
        <v>16199.211497843269</v>
      </c>
    </row>
    <row r="478" spans="1:6" x14ac:dyDescent="0.25">
      <c r="A478" s="1" t="s">
        <v>235</v>
      </c>
      <c r="B478" s="2">
        <v>70</v>
      </c>
      <c r="C478" s="1">
        <f>(teraterm[[#This Row],[Value(V)]]+$K$2)*$S$2</f>
        <v>102.86853027343751</v>
      </c>
      <c r="D478" s="1">
        <f>(MOD(teraterm[[#This Row],[Column2]],4096)-Q$4)*$S$3*1000</f>
        <v>-118.00130208333333</v>
      </c>
      <c r="E478" s="1">
        <f>IF(ABS(VALUE(teraterm[[#This Row],[Column1]]))&lt;4095,VALUE(teraterm[[#This Row],[Column1]]),0)</f>
        <v>915</v>
      </c>
      <c r="F478" s="1">
        <f>teraterm[[#This Row],[V(V)]]^2</f>
        <v>10581.934520617131</v>
      </c>
    </row>
    <row r="479" spans="1:6" x14ac:dyDescent="0.25">
      <c r="A479" s="1" t="s">
        <v>236</v>
      </c>
      <c r="B479" s="2">
        <v>14</v>
      </c>
      <c r="C479" s="1">
        <f>(teraterm[[#This Row],[Value(V)]]+$K$2)*$S$2</f>
        <v>79.686889648437514</v>
      </c>
      <c r="D479" s="1">
        <f>(MOD(teraterm[[#This Row],[Column2]],4096)-Q$4)*$S$3*1000</f>
        <v>-140.78776041666666</v>
      </c>
      <c r="E479" s="1">
        <f>IF(ABS(VALUE(teraterm[[#This Row],[Column1]]))&lt;4095,VALUE(teraterm[[#This Row],[Column1]]),0)</f>
        <v>707</v>
      </c>
      <c r="F479" s="1">
        <f>teraterm[[#This Row],[V(V)]]^2</f>
        <v>6350.0003818422574</v>
      </c>
    </row>
    <row r="480" spans="1:6" x14ac:dyDescent="0.25">
      <c r="A480" s="1" t="s">
        <v>24</v>
      </c>
      <c r="B480" s="2">
        <v>4051</v>
      </c>
      <c r="C480" s="1">
        <f>(teraterm[[#This Row],[Value(V)]]+$K$2)*$S$2</f>
        <v>59.625854492187507</v>
      </c>
      <c r="D480" s="1">
        <f>(MOD(teraterm[[#This Row],[Column2]],4096)-Q$4)*$S$3*1000</f>
        <v>1501.8717447916665</v>
      </c>
      <c r="E480" s="1">
        <f>IF(ABS(VALUE(teraterm[[#This Row],[Column1]]))&lt;4095,VALUE(teraterm[[#This Row],[Column1]]),0)</f>
        <v>527</v>
      </c>
      <c r="F480" s="1">
        <f>teraterm[[#This Row],[V(V)]]^2</f>
        <v>3555.2425239235172</v>
      </c>
    </row>
    <row r="481" spans="1:6" x14ac:dyDescent="0.25">
      <c r="A481" s="1" t="s">
        <v>237</v>
      </c>
      <c r="B481" s="2">
        <v>4015</v>
      </c>
      <c r="C481" s="1">
        <f>(teraterm[[#This Row],[Value(V)]]+$K$2)*$S$2</f>
        <v>44.134277343750007</v>
      </c>
      <c r="D481" s="1">
        <f>(MOD(teraterm[[#This Row],[Column2]],4096)-Q$4)*$S$3*1000</f>
        <v>1487.2233072916665</v>
      </c>
      <c r="E481" s="1">
        <f>IF(ABS(VALUE(teraterm[[#This Row],[Column1]]))&lt;4095,VALUE(teraterm[[#This Row],[Column1]]),0)</f>
        <v>388</v>
      </c>
      <c r="F481" s="1">
        <f>teraterm[[#This Row],[V(V)]]^2</f>
        <v>1947.8344366550452</v>
      </c>
    </row>
    <row r="482" spans="1:6" x14ac:dyDescent="0.25">
      <c r="A482" s="1" t="s">
        <v>238</v>
      </c>
      <c r="B482" s="2">
        <v>3994</v>
      </c>
      <c r="C482" s="1">
        <f>(teraterm[[#This Row],[Value(V)]]+$K$2)*$S$2</f>
        <v>33.880859375000007</v>
      </c>
      <c r="D482" s="1">
        <f>(MOD(teraterm[[#This Row],[Column2]],4096)-Q$4)*$S$3*1000</f>
        <v>1478.6783854166665</v>
      </c>
      <c r="E482" s="1">
        <f>IF(ABS(VALUE(teraterm[[#This Row],[Column1]]))&lt;4095,VALUE(teraterm[[#This Row],[Column1]]),0)</f>
        <v>296</v>
      </c>
      <c r="F482" s="1">
        <f>teraterm[[#This Row],[V(V)]]^2</f>
        <v>1147.9126319885258</v>
      </c>
    </row>
    <row r="483" spans="1:6" x14ac:dyDescent="0.25">
      <c r="A483" s="1" t="s">
        <v>239</v>
      </c>
      <c r="B483" s="2">
        <v>3976</v>
      </c>
      <c r="C483" s="1">
        <f>(teraterm[[#This Row],[Value(V)]]+$K$2)*$S$2</f>
        <v>30.203002929687504</v>
      </c>
      <c r="D483" s="1">
        <f>(MOD(teraterm[[#This Row],[Column2]],4096)-Q$4)*$S$3*1000</f>
        <v>1471.3541666666665</v>
      </c>
      <c r="E483" s="1">
        <f>IF(ABS(VALUE(teraterm[[#This Row],[Column1]]))&lt;4095,VALUE(teraterm[[#This Row],[Column1]]),0)</f>
        <v>263</v>
      </c>
      <c r="F483" s="1">
        <f>teraterm[[#This Row],[V(V)]]^2</f>
        <v>912.22138597071194</v>
      </c>
    </row>
    <row r="484" spans="1:6" x14ac:dyDescent="0.25">
      <c r="A484" s="1" t="s">
        <v>115</v>
      </c>
      <c r="B484" s="2">
        <v>3976</v>
      </c>
      <c r="C484" s="1">
        <f>(teraterm[[#This Row],[Value(V)]]+$K$2)*$S$2</f>
        <v>28.642700195312504</v>
      </c>
      <c r="D484" s="1">
        <f>(MOD(teraterm[[#This Row],[Column2]],4096)-Q$4)*$S$3*1000</f>
        <v>1471.3541666666665</v>
      </c>
      <c r="E484" s="1">
        <f>IF(ABS(VALUE(teraterm[[#This Row],[Column1]]))&lt;4095,VALUE(teraterm[[#This Row],[Column1]]),0)</f>
        <v>249</v>
      </c>
      <c r="F484" s="1">
        <f>teraterm[[#This Row],[V(V)]]^2</f>
        <v>820.40427447855495</v>
      </c>
    </row>
    <row r="485" spans="1:6" x14ac:dyDescent="0.25">
      <c r="A485" s="1" t="s">
        <v>27</v>
      </c>
      <c r="B485" s="2">
        <v>3988</v>
      </c>
      <c r="C485" s="1">
        <f>(teraterm[[#This Row],[Value(V)]]+$K$2)*$S$2</f>
        <v>28.085449218750004</v>
      </c>
      <c r="D485" s="1">
        <f>(MOD(teraterm[[#This Row],[Column2]],4096)-Q$4)*$S$3*1000</f>
        <v>1476.2369791666665</v>
      </c>
      <c r="E485" s="1">
        <f>IF(ABS(VALUE(teraterm[[#This Row],[Column1]]))&lt;4095,VALUE(teraterm[[#This Row],[Column1]]),0)</f>
        <v>244</v>
      </c>
      <c r="F485" s="1">
        <f>teraterm[[#This Row],[V(V)]]^2</f>
        <v>788.79245781898521</v>
      </c>
    </row>
    <row r="486" spans="1:6" x14ac:dyDescent="0.25">
      <c r="A486" s="1" t="s">
        <v>35</v>
      </c>
      <c r="B486" s="2">
        <v>3979</v>
      </c>
      <c r="C486" s="1">
        <f>(teraterm[[#This Row],[Value(V)]]+$K$2)*$S$2</f>
        <v>29.088500976562504</v>
      </c>
      <c r="D486" s="1">
        <f>(MOD(teraterm[[#This Row],[Column2]],4096)-Q$4)*$S$3*1000</f>
        <v>1472.5748697916665</v>
      </c>
      <c r="E486" s="1">
        <f>IF(ABS(VALUE(teraterm[[#This Row],[Column1]]))&lt;4095,VALUE(teraterm[[#This Row],[Column1]]),0)</f>
        <v>253</v>
      </c>
      <c r="F486" s="1">
        <f>teraterm[[#This Row],[V(V)]]^2</f>
        <v>846.14088906347774</v>
      </c>
    </row>
    <row r="487" spans="1:6" x14ac:dyDescent="0.25">
      <c r="A487" s="1" t="s">
        <v>240</v>
      </c>
      <c r="B487" s="2">
        <v>4019</v>
      </c>
      <c r="C487" s="1">
        <f>(teraterm[[#This Row],[Value(V)]]+$K$2)*$S$2</f>
        <v>34.103759765625007</v>
      </c>
      <c r="D487" s="1">
        <f>(MOD(teraterm[[#This Row],[Column2]],4096)-Q$4)*$S$3*1000</f>
        <v>1488.8509114583333</v>
      </c>
      <c r="E487" s="1">
        <f>IF(ABS(VALUE(teraterm[[#This Row],[Column1]]))&lt;4095,VALUE(teraterm[[#This Row],[Column1]]),0)</f>
        <v>298</v>
      </c>
      <c r="F487" s="1">
        <f>teraterm[[#This Row],[V(V)]]^2</f>
        <v>1163.066430151463</v>
      </c>
    </row>
    <row r="488" spans="1:6" x14ac:dyDescent="0.25">
      <c r="A488" s="1" t="s">
        <v>241</v>
      </c>
      <c r="B488" s="2">
        <v>4060</v>
      </c>
      <c r="C488" s="1">
        <f>(teraterm[[#This Row],[Value(V)]]+$K$2)*$S$2</f>
        <v>50.264038085937507</v>
      </c>
      <c r="D488" s="1">
        <f>(MOD(teraterm[[#This Row],[Column2]],4096)-Q$4)*$S$3*1000</f>
        <v>1505.5338541666665</v>
      </c>
      <c r="E488" s="1">
        <f>IF(ABS(VALUE(teraterm[[#This Row],[Column1]]))&lt;4095,VALUE(teraterm[[#This Row],[Column1]]),0)</f>
        <v>443</v>
      </c>
      <c r="F488" s="1">
        <f>teraterm[[#This Row],[V(V)]]^2</f>
        <v>2526.4735247045764</v>
      </c>
    </row>
    <row r="489" spans="1:6" x14ac:dyDescent="0.25">
      <c r="A489" s="1" t="s">
        <v>242</v>
      </c>
      <c r="B489" s="2">
        <v>21</v>
      </c>
      <c r="C489" s="1">
        <f>(teraterm[[#This Row],[Value(V)]]+$K$2)*$S$2</f>
        <v>74.560180664062514</v>
      </c>
      <c r="D489" s="1">
        <f>(MOD(teraterm[[#This Row],[Column2]],4096)-Q$4)*$S$3*1000</f>
        <v>-137.939453125</v>
      </c>
      <c r="E489" s="1">
        <f>IF(ABS(VALUE(teraterm[[#This Row],[Column1]]))&lt;4095,VALUE(teraterm[[#This Row],[Column1]]),0)</f>
        <v>661</v>
      </c>
      <c r="F489" s="1">
        <f>teraterm[[#This Row],[V(V)]]^2</f>
        <v>5559.2205406576413</v>
      </c>
    </row>
    <row r="490" spans="1:6" x14ac:dyDescent="0.25">
      <c r="A490" s="1" t="s">
        <v>243</v>
      </c>
      <c r="B490" s="2">
        <v>87</v>
      </c>
      <c r="C490" s="1">
        <f>(teraterm[[#This Row],[Value(V)]]+$K$2)*$S$2</f>
        <v>96.515869140625014</v>
      </c>
      <c r="D490" s="1">
        <f>(MOD(teraterm[[#This Row],[Column2]],4096)-Q$4)*$S$3*1000</f>
        <v>-111.08398437499999</v>
      </c>
      <c r="E490" s="1">
        <f>IF(ABS(VALUE(teraterm[[#This Row],[Column1]]))&lt;4095,VALUE(teraterm[[#This Row],[Column1]]),0)</f>
        <v>858</v>
      </c>
      <c r="F490" s="1">
        <f>teraterm[[#This Row],[V(V)]]^2</f>
        <v>9315.3129959702528</v>
      </c>
    </row>
    <row r="491" spans="1:6" x14ac:dyDescent="0.25">
      <c r="A491" s="1" t="s">
        <v>244</v>
      </c>
      <c r="B491" s="2">
        <v>134</v>
      </c>
      <c r="C491" s="1">
        <f>(teraterm[[#This Row],[Value(V)]]+$K$2)*$S$2</f>
        <v>119.80895996093751</v>
      </c>
      <c r="D491" s="1">
        <f>(MOD(teraterm[[#This Row],[Column2]],4096)-Q$4)*$S$3*1000</f>
        <v>-91.959635416666657</v>
      </c>
      <c r="E491" s="1">
        <f>IF(ABS(VALUE(teraterm[[#This Row],[Column1]]))&lt;4095,VALUE(teraterm[[#This Row],[Column1]]),0)</f>
        <v>1067</v>
      </c>
      <c r="F491" s="1">
        <f>teraterm[[#This Row],[V(V)]]^2</f>
        <v>14354.186886921529</v>
      </c>
    </row>
    <row r="492" spans="1:6" x14ac:dyDescent="0.25">
      <c r="A492" s="1" t="s">
        <v>245</v>
      </c>
      <c r="B492" s="2">
        <v>196</v>
      </c>
      <c r="C492" s="1">
        <f>(teraterm[[#This Row],[Value(V)]]+$K$2)*$S$2</f>
        <v>147.44860839843753</v>
      </c>
      <c r="D492" s="1">
        <f>(MOD(teraterm[[#This Row],[Column2]],4096)-Q$4)*$S$3*1000</f>
        <v>-66.731770833333329</v>
      </c>
      <c r="E492" s="1">
        <f>IF(ABS(VALUE(teraterm[[#This Row],[Column1]]))&lt;4095,VALUE(teraterm[[#This Row],[Column1]]),0)</f>
        <v>1315</v>
      </c>
      <c r="F492" s="1">
        <f>teraterm[[#This Row],[V(V)]]^2</f>
        <v>21741.092118635781</v>
      </c>
    </row>
    <row r="493" spans="1:6" x14ac:dyDescent="0.25">
      <c r="A493" s="1" t="s">
        <v>246</v>
      </c>
      <c r="B493" s="2">
        <v>244</v>
      </c>
      <c r="C493" s="1">
        <f>(teraterm[[#This Row],[Value(V)]]+$K$2)*$S$2</f>
        <v>174.75390625000003</v>
      </c>
      <c r="D493" s="1">
        <f>(MOD(teraterm[[#This Row],[Column2]],4096)-Q$4)*$S$3*1000</f>
        <v>-47.200520833333329</v>
      </c>
      <c r="E493" s="1">
        <f>IF(ABS(VALUE(teraterm[[#This Row],[Column1]]))&lt;4095,VALUE(teraterm[[#This Row],[Column1]]),0)</f>
        <v>1560</v>
      </c>
      <c r="F493" s="1">
        <f>teraterm[[#This Row],[V(V)]]^2</f>
        <v>30538.9277496338</v>
      </c>
    </row>
    <row r="494" spans="1:6" x14ac:dyDescent="0.25">
      <c r="A494" s="1" t="s">
        <v>247</v>
      </c>
      <c r="B494" s="2">
        <v>273</v>
      </c>
      <c r="C494" s="1">
        <f>(teraterm[[#This Row],[Value(V)]]+$K$2)*$S$2</f>
        <v>203.39660644531253</v>
      </c>
      <c r="D494" s="1">
        <f>(MOD(teraterm[[#This Row],[Column2]],4096)-Q$4)*$S$3*1000</f>
        <v>-35.400390625</v>
      </c>
      <c r="E494" s="1">
        <f>IF(ABS(VALUE(teraterm[[#This Row],[Column1]]))&lt;4095,VALUE(teraterm[[#This Row],[Column1]]),0)</f>
        <v>1817</v>
      </c>
      <c r="F494" s="1">
        <f>teraterm[[#This Row],[V(V)]]^2</f>
        <v>41370.179513469353</v>
      </c>
    </row>
    <row r="495" spans="1:6" x14ac:dyDescent="0.25">
      <c r="A495" s="1" t="s">
        <v>248</v>
      </c>
      <c r="B495" s="2">
        <v>328</v>
      </c>
      <c r="C495" s="1">
        <f>(teraterm[[#This Row],[Value(V)]]+$K$2)*$S$2</f>
        <v>234.82556152343753</v>
      </c>
      <c r="D495" s="1">
        <f>(MOD(teraterm[[#This Row],[Column2]],4096)-Q$4)*$S$3*1000</f>
        <v>-13.020833333333332</v>
      </c>
      <c r="E495" s="1">
        <f>IF(ABS(VALUE(teraterm[[#This Row],[Column1]]))&lt;4095,VALUE(teraterm[[#This Row],[Column1]]),0)</f>
        <v>2099</v>
      </c>
      <c r="F495" s="1">
        <f>teraterm[[#This Row],[V(V)]]^2</f>
        <v>55143.044344797745</v>
      </c>
    </row>
    <row r="496" spans="1:6" x14ac:dyDescent="0.25">
      <c r="A496" s="1" t="s">
        <v>249</v>
      </c>
      <c r="B496" s="2">
        <v>365</v>
      </c>
      <c r="C496" s="1">
        <f>(teraterm[[#This Row],[Value(V)]]+$K$2)*$S$2</f>
        <v>266.14306640625006</v>
      </c>
      <c r="D496" s="1">
        <f>(MOD(teraterm[[#This Row],[Column2]],4096)-Q$4)*$S$3*1000</f>
        <v>2.034505208333333</v>
      </c>
      <c r="E496" s="1">
        <f>IF(ABS(VALUE(teraterm[[#This Row],[Column1]]))&lt;4095,VALUE(teraterm[[#This Row],[Column1]]),0)</f>
        <v>2380</v>
      </c>
      <c r="F496" s="1">
        <f>teraterm[[#This Row],[V(V)]]^2</f>
        <v>70832.131796121626</v>
      </c>
    </row>
    <row r="497" spans="1:6" x14ac:dyDescent="0.25">
      <c r="A497" s="1" t="s">
        <v>250</v>
      </c>
      <c r="B497" s="2">
        <v>412</v>
      </c>
      <c r="C497" s="1">
        <f>(teraterm[[#This Row],[Value(V)]]+$K$2)*$S$2</f>
        <v>293.11401367187506</v>
      </c>
      <c r="D497" s="1">
        <f>(MOD(teraterm[[#This Row],[Column2]],4096)-Q$4)*$S$3*1000</f>
        <v>21.158854166666664</v>
      </c>
      <c r="E497" s="1">
        <f>IF(ABS(VALUE(teraterm[[#This Row],[Column1]]))&lt;4095,VALUE(teraterm[[#This Row],[Column1]]),0)</f>
        <v>2622</v>
      </c>
      <c r="F497" s="1">
        <f>teraterm[[#This Row],[V(V)]]^2</f>
        <v>85915.825010836154</v>
      </c>
    </row>
    <row r="498" spans="1:6" x14ac:dyDescent="0.25">
      <c r="A498" s="1" t="s">
        <v>251</v>
      </c>
      <c r="B498" s="2">
        <v>455</v>
      </c>
      <c r="C498" s="1">
        <f>(teraterm[[#This Row],[Value(V)]]+$K$2)*$S$2</f>
        <v>320.41931152343756</v>
      </c>
      <c r="D498" s="1">
        <f>(MOD(teraterm[[#This Row],[Column2]],4096)-Q$4)*$S$3*1000</f>
        <v>38.655598958333329</v>
      </c>
      <c r="E498" s="1">
        <f>IF(ABS(VALUE(teraterm[[#This Row],[Column1]]))&lt;4095,VALUE(teraterm[[#This Row],[Column1]]),0)</f>
        <v>2867</v>
      </c>
      <c r="F498" s="1">
        <f>teraterm[[#This Row],[V(V)]]^2</f>
        <v>102668.53519715373</v>
      </c>
    </row>
    <row r="499" spans="1:6" x14ac:dyDescent="0.25">
      <c r="A499" s="1" t="s">
        <v>252</v>
      </c>
      <c r="B499" s="2">
        <v>507</v>
      </c>
      <c r="C499" s="1">
        <f>(teraterm[[#This Row],[Value(V)]]+$K$2)*$S$2</f>
        <v>346.72155761718756</v>
      </c>
      <c r="D499" s="1">
        <f>(MOD(teraterm[[#This Row],[Column2]],4096)-Q$4)*$S$3*1000</f>
        <v>59.814453124999993</v>
      </c>
      <c r="E499" s="1">
        <f>IF(ABS(VALUE(teraterm[[#This Row],[Column1]]))&lt;4095,VALUE(teraterm[[#This Row],[Column1]]),0)</f>
        <v>3103</v>
      </c>
      <c r="F499" s="1">
        <f>teraterm[[#This Row],[V(V)]]^2</f>
        <v>120215.83851648871</v>
      </c>
    </row>
    <row r="500" spans="1:6" x14ac:dyDescent="0.25">
      <c r="A500" s="1" t="s">
        <v>253</v>
      </c>
      <c r="B500" s="2">
        <v>553</v>
      </c>
      <c r="C500" s="1">
        <f>(teraterm[[#This Row],[Value(V)]]+$K$2)*$S$2</f>
        <v>370.57189941406256</v>
      </c>
      <c r="D500" s="1">
        <f>(MOD(teraterm[[#This Row],[Column2]],4096)-Q$4)*$S$3*1000</f>
        <v>78.531901041666657</v>
      </c>
      <c r="E500" s="1">
        <f>IF(ABS(VALUE(teraterm[[#This Row],[Column1]]))&lt;4095,VALUE(teraterm[[#This Row],[Column1]]),0)</f>
        <v>3317</v>
      </c>
      <c r="F500" s="1">
        <f>teraterm[[#This Row],[V(V)]]^2</f>
        <v>137323.53263534608</v>
      </c>
    </row>
    <row r="501" spans="1:6" x14ac:dyDescent="0.25">
      <c r="A501" s="1" t="s">
        <v>254</v>
      </c>
      <c r="B501" s="2">
        <v>598</v>
      </c>
      <c r="C501" s="1">
        <f>(teraterm[[#This Row],[Value(V)]]+$K$2)*$S$2</f>
        <v>392.97338867187506</v>
      </c>
      <c r="D501" s="1">
        <f>(MOD(teraterm[[#This Row],[Column2]],4096)-Q$4)*$S$3*1000</f>
        <v>96.842447916666657</v>
      </c>
      <c r="E501" s="1">
        <f>IF(ABS(VALUE(teraterm[[#This Row],[Column1]]))&lt;4095,VALUE(teraterm[[#This Row],[Column1]]),0)</f>
        <v>3518</v>
      </c>
      <c r="F501" s="1">
        <f>teraterm[[#This Row],[V(V)]]^2</f>
        <v>154428.08420425659</v>
      </c>
    </row>
    <row r="502" spans="1:6" x14ac:dyDescent="0.25">
      <c r="A502" s="1" t="s">
        <v>255</v>
      </c>
      <c r="B502" s="2">
        <v>629</v>
      </c>
      <c r="C502" s="1">
        <f>(teraterm[[#This Row],[Value(V)]]+$K$2)*$S$2</f>
        <v>413.48022460937506</v>
      </c>
      <c r="D502" s="1">
        <f>(MOD(teraterm[[#This Row],[Column2]],4096)-Q$4)*$S$3*1000</f>
        <v>109.45638020833333</v>
      </c>
      <c r="E502" s="1">
        <f>IF(ABS(VALUE(teraterm[[#This Row],[Column1]]))&lt;4095,VALUE(teraterm[[#This Row],[Column1]]),0)</f>
        <v>3702</v>
      </c>
      <c r="F502" s="1">
        <f>teraterm[[#This Row],[V(V)]]^2</f>
        <v>170965.89614301926</v>
      </c>
    </row>
    <row r="503" spans="1:6" x14ac:dyDescent="0.25">
      <c r="A503" s="1" t="s">
        <v>256</v>
      </c>
      <c r="B503" s="2">
        <v>642</v>
      </c>
      <c r="C503" s="1">
        <f>(teraterm[[#This Row],[Value(V)]]+$K$2)*$S$2</f>
        <v>428.74890136718756</v>
      </c>
      <c r="D503" s="1">
        <f>(MOD(teraterm[[#This Row],[Column2]],4096)-Q$4)*$S$3*1000</f>
        <v>114.74609374999999</v>
      </c>
      <c r="E503" s="1">
        <f>IF(ABS(VALUE(teraterm[[#This Row],[Column1]]))&lt;4095,VALUE(teraterm[[#This Row],[Column1]]),0)</f>
        <v>3839</v>
      </c>
      <c r="F503" s="1">
        <f>teraterm[[#This Row],[V(V)]]^2</f>
        <v>183825.62042357033</v>
      </c>
    </row>
    <row r="504" spans="1:6" x14ac:dyDescent="0.25">
      <c r="A504" s="1" t="s">
        <v>257</v>
      </c>
      <c r="B504" s="2">
        <v>654</v>
      </c>
      <c r="C504" s="1">
        <f>(teraterm[[#This Row],[Value(V)]]+$K$2)*$S$2</f>
        <v>439.89392089843756</v>
      </c>
      <c r="D504" s="1">
        <f>(MOD(teraterm[[#This Row],[Column2]],4096)-Q$4)*$S$3*1000</f>
        <v>119.62890624999999</v>
      </c>
      <c r="E504" s="1">
        <f>IF(ABS(VALUE(teraterm[[#This Row],[Column1]]))&lt;4095,VALUE(teraterm[[#This Row],[Column1]]),0)</f>
        <v>3939</v>
      </c>
      <c r="F504" s="1">
        <f>teraterm[[#This Row],[V(V)]]^2</f>
        <v>193506.66164340085</v>
      </c>
    </row>
    <row r="505" spans="1:6" x14ac:dyDescent="0.25">
      <c r="A505" s="1" t="s">
        <v>258</v>
      </c>
      <c r="B505" s="2">
        <v>674</v>
      </c>
      <c r="C505" s="1">
        <f>(teraterm[[#This Row],[Value(V)]]+$K$2)*$S$2</f>
        <v>445.35498046875006</v>
      </c>
      <c r="D505" s="1">
        <f>(MOD(teraterm[[#This Row],[Column2]],4096)-Q$4)*$S$3*1000</f>
        <v>127.76692708333331</v>
      </c>
      <c r="E505" s="1">
        <f>IF(ABS(VALUE(teraterm[[#This Row],[Column1]]))&lt;4095,VALUE(teraterm[[#This Row],[Column1]]),0)</f>
        <v>3988</v>
      </c>
      <c r="F505" s="1">
        <f>teraterm[[#This Row],[V(V)]]^2</f>
        <v>198341.05862832075</v>
      </c>
    </row>
    <row r="506" spans="1:6" x14ac:dyDescent="0.25">
      <c r="A506" s="1" t="s">
        <v>174</v>
      </c>
      <c r="B506" s="2">
        <v>666</v>
      </c>
      <c r="C506" s="1">
        <f>(teraterm[[#This Row],[Value(V)]]+$K$2)*$S$2</f>
        <v>447.58398437500006</v>
      </c>
      <c r="D506" s="1">
        <f>(MOD(teraterm[[#This Row],[Column2]],4096)-Q$4)*$S$3*1000</f>
        <v>124.51171874999999</v>
      </c>
      <c r="E506" s="1">
        <f>IF(ABS(VALUE(teraterm[[#This Row],[Column1]]))&lt;4095,VALUE(teraterm[[#This Row],[Column1]]),0)</f>
        <v>4008</v>
      </c>
      <c r="F506" s="1">
        <f>teraterm[[#This Row],[V(V)]]^2</f>
        <v>200331.4230690003</v>
      </c>
    </row>
    <row r="507" spans="1:6" x14ac:dyDescent="0.25">
      <c r="A507" s="1" t="s">
        <v>175</v>
      </c>
      <c r="B507" s="2">
        <v>663</v>
      </c>
      <c r="C507" s="1">
        <f>(teraterm[[#This Row],[Value(V)]]+$K$2)*$S$2</f>
        <v>448.92138671875006</v>
      </c>
      <c r="D507" s="1">
        <f>(MOD(teraterm[[#This Row],[Column2]],4096)-Q$4)*$S$3*1000</f>
        <v>123.29101562499999</v>
      </c>
      <c r="E507" s="1">
        <f>IF(ABS(VALUE(teraterm[[#This Row],[Column1]]))&lt;4095,VALUE(teraterm[[#This Row],[Column1]]),0)</f>
        <v>4020</v>
      </c>
      <c r="F507" s="1">
        <f>teraterm[[#This Row],[V(V)]]^2</f>
        <v>201530.41145348555</v>
      </c>
    </row>
    <row r="508" spans="1:6" x14ac:dyDescent="0.25">
      <c r="A508" s="1" t="s">
        <v>29</v>
      </c>
      <c r="B508" s="2">
        <v>657</v>
      </c>
      <c r="C508" s="1">
        <f>(teraterm[[#This Row],[Value(V)]]+$K$2)*$S$2</f>
        <v>449.47863769531256</v>
      </c>
      <c r="D508" s="1">
        <f>(MOD(teraterm[[#This Row],[Column2]],4096)-Q$4)*$S$3*1000</f>
        <v>120.84960937499999</v>
      </c>
      <c r="E508" s="1">
        <f>IF(ABS(VALUE(teraterm[[#This Row],[Column1]]))&lt;4095,VALUE(teraterm[[#This Row],[Column1]]),0)</f>
        <v>4025</v>
      </c>
      <c r="F508" s="1">
        <f>teraterm[[#This Row],[V(V)]]^2</f>
        <v>202031.04574443406</v>
      </c>
    </row>
    <row r="509" spans="1:6" x14ac:dyDescent="0.25">
      <c r="A509" s="1" t="s">
        <v>220</v>
      </c>
      <c r="B509" s="2">
        <v>666</v>
      </c>
      <c r="C509" s="1">
        <f>(teraterm[[#This Row],[Value(V)]]+$K$2)*$S$2</f>
        <v>447.13818359375006</v>
      </c>
      <c r="D509" s="1">
        <f>(MOD(teraterm[[#This Row],[Column2]],4096)-Q$4)*$S$3*1000</f>
        <v>124.51171874999999</v>
      </c>
      <c r="E509" s="1">
        <f>IF(ABS(VALUE(teraterm[[#This Row],[Column1]]))&lt;4095,VALUE(teraterm[[#This Row],[Column1]]),0)</f>
        <v>4004</v>
      </c>
      <c r="F509" s="1">
        <f>teraterm[[#This Row],[V(V)]]^2</f>
        <v>199932.55522751814</v>
      </c>
    </row>
    <row r="510" spans="1:6" x14ac:dyDescent="0.25">
      <c r="A510" s="1" t="s">
        <v>259</v>
      </c>
      <c r="B510" s="2">
        <v>640</v>
      </c>
      <c r="C510" s="1">
        <f>(teraterm[[#This Row],[Value(V)]]+$K$2)*$S$2</f>
        <v>436.43896484375006</v>
      </c>
      <c r="D510" s="1">
        <f>(MOD(teraterm[[#This Row],[Column2]],4096)-Q$4)*$S$3*1000</f>
        <v>113.93229166666666</v>
      </c>
      <c r="E510" s="1">
        <f>IF(ABS(VALUE(teraterm[[#This Row],[Column1]]))&lt;4095,VALUE(teraterm[[#This Row],[Column1]]),0)</f>
        <v>3908</v>
      </c>
      <c r="F510" s="1">
        <f>teraterm[[#This Row],[V(V)]]^2</f>
        <v>190478.97003388411</v>
      </c>
    </row>
    <row r="511" spans="1:6" x14ac:dyDescent="0.25">
      <c r="A511" s="1" t="s">
        <v>260</v>
      </c>
      <c r="B511" s="2">
        <v>598</v>
      </c>
      <c r="C511" s="1">
        <f>(teraterm[[#This Row],[Value(V)]]+$K$2)*$S$2</f>
        <v>415.26342773437506</v>
      </c>
      <c r="D511" s="1">
        <f>(MOD(teraterm[[#This Row],[Column2]],4096)-Q$4)*$S$3*1000</f>
        <v>96.842447916666657</v>
      </c>
      <c r="E511" s="1">
        <f>IF(ABS(VALUE(teraterm[[#This Row],[Column1]]))&lt;4095,VALUE(teraterm[[#This Row],[Column1]]),0)</f>
        <v>3718</v>
      </c>
      <c r="F511" s="1">
        <f>teraterm[[#This Row],[V(V)]]^2</f>
        <v>172443.71441370255</v>
      </c>
    </row>
    <row r="512" spans="1:6" x14ac:dyDescent="0.25">
      <c r="A512" s="1" t="s">
        <v>261</v>
      </c>
      <c r="B512" s="2">
        <v>551</v>
      </c>
      <c r="C512" s="1">
        <f>(teraterm[[#This Row],[Value(V)]]+$K$2)*$S$2</f>
        <v>393.64208984375006</v>
      </c>
      <c r="D512" s="1">
        <f>(MOD(teraterm[[#This Row],[Column2]],4096)-Q$4)*$S$3*1000</f>
        <v>77.718098958333329</v>
      </c>
      <c r="E512" s="1">
        <f>IF(ABS(VALUE(teraterm[[#This Row],[Column1]]))&lt;4095,VALUE(teraterm[[#This Row],[Column1]]),0)</f>
        <v>3524</v>
      </c>
      <c r="F512" s="1">
        <f>teraterm[[#This Row],[V(V)]]^2</f>
        <v>154954.09489655501</v>
      </c>
    </row>
    <row r="513" spans="1:6" x14ac:dyDescent="0.25">
      <c r="A513" s="1" t="s">
        <v>262</v>
      </c>
      <c r="B513" s="2">
        <v>526</v>
      </c>
      <c r="C513" s="1">
        <f>(teraterm[[#This Row],[Value(V)]]+$K$2)*$S$2</f>
        <v>372.13220214843756</v>
      </c>
      <c r="D513" s="1">
        <f>(MOD(teraterm[[#This Row],[Column2]],4096)-Q$4)*$S$3*1000</f>
        <v>67.545572916666657</v>
      </c>
      <c r="E513" s="1">
        <f>IF(ABS(VALUE(teraterm[[#This Row],[Column1]]))&lt;4095,VALUE(teraterm[[#This Row],[Column1]]),0)</f>
        <v>3331</v>
      </c>
      <c r="F513" s="1">
        <f>teraterm[[#This Row],[V(V)]]^2</f>
        <v>138482.37587584558</v>
      </c>
    </row>
    <row r="514" spans="1:6" x14ac:dyDescent="0.25">
      <c r="A514" s="1" t="s">
        <v>252</v>
      </c>
      <c r="B514" s="2">
        <v>489</v>
      </c>
      <c r="C514" s="1">
        <f>(teraterm[[#This Row],[Value(V)]]+$K$2)*$S$2</f>
        <v>346.72155761718756</v>
      </c>
      <c r="D514" s="1">
        <f>(MOD(teraterm[[#This Row],[Column2]],4096)-Q$4)*$S$3*1000</f>
        <v>52.490234374999993</v>
      </c>
      <c r="E514" s="1">
        <f>IF(ABS(VALUE(teraterm[[#This Row],[Column1]]))&lt;4095,VALUE(teraterm[[#This Row],[Column1]]),0)</f>
        <v>3103</v>
      </c>
      <c r="F514" s="1">
        <f>teraterm[[#This Row],[V(V)]]^2</f>
        <v>120215.83851648871</v>
      </c>
    </row>
    <row r="515" spans="1:6" x14ac:dyDescent="0.25">
      <c r="A515" s="1" t="s">
        <v>263</v>
      </c>
      <c r="B515" s="2">
        <v>446</v>
      </c>
      <c r="C515" s="1">
        <f>(teraterm[[#This Row],[Value(V)]]+$K$2)*$S$2</f>
        <v>319.97351074218756</v>
      </c>
      <c r="D515" s="1">
        <f>(MOD(teraterm[[#This Row],[Column2]],4096)-Q$4)*$S$3*1000</f>
        <v>34.993489583333329</v>
      </c>
      <c r="E515" s="1">
        <f>IF(ABS(VALUE(teraterm[[#This Row],[Column1]]))&lt;4095,VALUE(teraterm[[#This Row],[Column1]]),0)</f>
        <v>2863</v>
      </c>
      <c r="F515" s="1">
        <f>teraterm[[#This Row],[V(V)]]^2</f>
        <v>102383.04757668081</v>
      </c>
    </row>
    <row r="516" spans="1:6" x14ac:dyDescent="0.25">
      <c r="A516" s="1" t="s">
        <v>264</v>
      </c>
      <c r="B516" s="2">
        <v>405</v>
      </c>
      <c r="C516" s="1">
        <f>(teraterm[[#This Row],[Value(V)]]+$K$2)*$S$2</f>
        <v>292.33386230468756</v>
      </c>
      <c r="D516" s="1">
        <f>(MOD(teraterm[[#This Row],[Column2]],4096)-Q$4)*$S$3*1000</f>
        <v>18.310546875</v>
      </c>
      <c r="E516" s="1">
        <f>IF(ABS(VALUE(teraterm[[#This Row],[Column1]]))&lt;4095,VALUE(teraterm[[#This Row],[Column1]]),0)</f>
        <v>2615</v>
      </c>
      <c r="F516" s="1">
        <f>teraterm[[#This Row],[V(V)]]^2</f>
        <v>85459.08704997602</v>
      </c>
    </row>
    <row r="517" spans="1:6" x14ac:dyDescent="0.25">
      <c r="A517" s="1" t="s">
        <v>265</v>
      </c>
      <c r="B517" s="2">
        <v>370</v>
      </c>
      <c r="C517" s="1">
        <f>(teraterm[[#This Row],[Value(V)]]+$K$2)*$S$2</f>
        <v>261.68505859375006</v>
      </c>
      <c r="D517" s="1">
        <f>(MOD(teraterm[[#This Row],[Column2]],4096)-Q$4)*$S$3*1000</f>
        <v>4.0690104166666661</v>
      </c>
      <c r="E517" s="1">
        <f>IF(ABS(VALUE(teraterm[[#This Row],[Column1]]))&lt;4095,VALUE(teraterm[[#This Row],[Column1]]),0)</f>
        <v>2340</v>
      </c>
      <c r="F517" s="1">
        <f>teraterm[[#This Row],[V(V)]]^2</f>
        <v>68479.0698912144</v>
      </c>
    </row>
    <row r="518" spans="1:6" x14ac:dyDescent="0.25">
      <c r="A518" s="1" t="s">
        <v>266</v>
      </c>
      <c r="B518" s="2">
        <v>314</v>
      </c>
      <c r="C518" s="1">
        <f>(teraterm[[#This Row],[Value(V)]]+$K$2)*$S$2</f>
        <v>230.03320312500003</v>
      </c>
      <c r="D518" s="1">
        <f>(MOD(teraterm[[#This Row],[Column2]],4096)-Q$4)*$S$3*1000</f>
        <v>-18.717447916666664</v>
      </c>
      <c r="E518" s="1">
        <f>IF(ABS(VALUE(teraterm[[#This Row],[Column1]]))&lt;4095,VALUE(teraterm[[#This Row],[Column1]]),0)</f>
        <v>2056</v>
      </c>
      <c r="F518" s="1">
        <f>teraterm[[#This Row],[V(V)]]^2</f>
        <v>52915.274539947524</v>
      </c>
    </row>
    <row r="519" spans="1:6" x14ac:dyDescent="0.25">
      <c r="A519" s="1" t="s">
        <v>267</v>
      </c>
      <c r="B519" s="2">
        <v>270</v>
      </c>
      <c r="C519" s="1">
        <f>(teraterm[[#This Row],[Value(V)]]+$K$2)*$S$2</f>
        <v>200.49890136718753</v>
      </c>
      <c r="D519" s="1">
        <f>(MOD(teraterm[[#This Row],[Column2]],4096)-Q$4)*$S$3*1000</f>
        <v>-36.62109375</v>
      </c>
      <c r="E519" s="1">
        <f>IF(ABS(VALUE(teraterm[[#This Row],[Column1]]))&lt;4095,VALUE(teraterm[[#This Row],[Column1]]),0)</f>
        <v>1791</v>
      </c>
      <c r="F519" s="1">
        <f>teraterm[[#This Row],[V(V)]]^2</f>
        <v>40199.809449449196</v>
      </c>
    </row>
    <row r="520" spans="1:6" x14ac:dyDescent="0.25">
      <c r="A520" s="1" t="s">
        <v>268</v>
      </c>
      <c r="B520" s="2">
        <v>228</v>
      </c>
      <c r="C520" s="1">
        <f>(teraterm[[#This Row],[Value(V)]]+$K$2)*$S$2</f>
        <v>172.19055175781253</v>
      </c>
      <c r="D520" s="1">
        <f>(MOD(teraterm[[#This Row],[Column2]],4096)-Q$4)*$S$3*1000</f>
        <v>-53.710937499999993</v>
      </c>
      <c r="E520" s="1">
        <f>IF(ABS(VALUE(teraterm[[#This Row],[Column1]]))&lt;4095,VALUE(teraterm[[#This Row],[Column1]]),0)</f>
        <v>1537</v>
      </c>
      <c r="F520" s="1">
        <f>teraterm[[#This Row],[V(V)]]^2</f>
        <v>29649.586114659916</v>
      </c>
    </row>
    <row r="521" spans="1:6" x14ac:dyDescent="0.25">
      <c r="A521" s="1" t="s">
        <v>269</v>
      </c>
      <c r="B521" s="2">
        <v>161</v>
      </c>
      <c r="C521" s="1">
        <f>(teraterm[[#This Row],[Value(V)]]+$K$2)*$S$2</f>
        <v>144.55090332031253</v>
      </c>
      <c r="D521" s="1">
        <f>(MOD(teraterm[[#This Row],[Column2]],4096)-Q$4)*$S$3*1000</f>
        <v>-80.973307291666657</v>
      </c>
      <c r="E521" s="1">
        <f>IF(ABS(VALUE(teraterm[[#This Row],[Column1]]))&lt;4095,VALUE(teraterm[[#This Row],[Column1]]),0)</f>
        <v>1289</v>
      </c>
      <c r="F521" s="1">
        <f>teraterm[[#This Row],[V(V)]]^2</f>
        <v>20894.963650718339</v>
      </c>
    </row>
    <row r="522" spans="1:6" x14ac:dyDescent="0.25">
      <c r="A522" s="1" t="s">
        <v>270</v>
      </c>
      <c r="B522" s="2">
        <v>105</v>
      </c>
      <c r="C522" s="1">
        <f>(teraterm[[#This Row],[Value(V)]]+$K$2)*$S$2</f>
        <v>118.58300781250001</v>
      </c>
      <c r="D522" s="1">
        <f>(MOD(teraterm[[#This Row],[Column2]],4096)-Q$4)*$S$3*1000</f>
        <v>-103.75976562499999</v>
      </c>
      <c r="E522" s="1">
        <f>IF(ABS(VALUE(teraterm[[#This Row],[Column1]]))&lt;4095,VALUE(teraterm[[#This Row],[Column1]]),0)</f>
        <v>1056</v>
      </c>
      <c r="F522" s="1">
        <f>teraterm[[#This Row],[V(V)]]^2</f>
        <v>14061.92974185944</v>
      </c>
    </row>
    <row r="523" spans="1:6" x14ac:dyDescent="0.25">
      <c r="E523" s="1">
        <f>IF(ABS(VALUE(teraterm[[#This Row],[Column1]]))&lt;4095,VALUE(teraterm[[#This Row],[Column1]]),0)</f>
        <v>0</v>
      </c>
    </row>
    <row r="524" spans="1:6" x14ac:dyDescent="0.25">
      <c r="E524" s="1">
        <f>IF(ABS(VALUE(teraterm[[#This Row],[Column1]]))&lt;4095,VALUE(teraterm[[#This Row],[Column1]]),0)</f>
        <v>0</v>
      </c>
    </row>
    <row r="525" spans="1:6" x14ac:dyDescent="0.25">
      <c r="E525" s="1">
        <f>IF(ABS(VALUE(teraterm[[#This Row],[Column1]]))&lt;4095,VALUE(teraterm[[#This Row],[Column1]]),0)</f>
        <v>0</v>
      </c>
    </row>
    <row r="526" spans="1:6" x14ac:dyDescent="0.25">
      <c r="E526" s="1">
        <f>IF(ABS(VALUE(teraterm[[#This Row],[Column1]]))&lt;4095,VALUE(teraterm[[#This Row],[Column1]]),0)</f>
        <v>0</v>
      </c>
    </row>
    <row r="527" spans="1:6" x14ac:dyDescent="0.25">
      <c r="E527" s="1">
        <f>IF(ABS(VALUE(teraterm[[#This Row],[Column1]]))&lt;4095,VALUE(teraterm[[#This Row],[Column1]]),0)</f>
        <v>0</v>
      </c>
    </row>
    <row r="528" spans="1:6" x14ac:dyDescent="0.25">
      <c r="E528" s="1">
        <f>IF(ABS(VALUE(teraterm[[#This Row],[Column1]]))&lt;4095,VALUE(teraterm[[#This Row],[Column1]]),0)</f>
        <v>0</v>
      </c>
    </row>
    <row r="529" spans="5:5" x14ac:dyDescent="0.25">
      <c r="E529" s="1">
        <f>IF(ABS(VALUE(teraterm[[#This Row],[Column1]]))&lt;4095,VALUE(teraterm[[#This Row],[Column1]]),0)</f>
        <v>0</v>
      </c>
    </row>
    <row r="530" spans="5:5" x14ac:dyDescent="0.25">
      <c r="E530" s="1">
        <f>IF(ABS(VALUE(teraterm[[#This Row],[Column1]]))&lt;4095,VALUE(teraterm[[#This Row],[Column1]]),0)</f>
        <v>0</v>
      </c>
    </row>
    <row r="531" spans="5:5" x14ac:dyDescent="0.25">
      <c r="E531" s="1">
        <f>IF(ABS(VALUE(teraterm[[#This Row],[Column1]]))&lt;4095,VALUE(teraterm[[#This Row],[Column1]]),0)</f>
        <v>0</v>
      </c>
    </row>
    <row r="532" spans="5:5" x14ac:dyDescent="0.25">
      <c r="E532" s="1">
        <f>IF(ABS(VALUE(teraterm[[#This Row],[Column1]]))&lt;4095,VALUE(teraterm[[#This Row],[Column1]]),0)</f>
        <v>0</v>
      </c>
    </row>
    <row r="533" spans="5:5" x14ac:dyDescent="0.25">
      <c r="E533" s="1">
        <f>IF(ABS(VALUE(teraterm[[#This Row],[Column1]]))&lt;4095,VALUE(teraterm[[#This Row],[Column1]]),0)</f>
        <v>0</v>
      </c>
    </row>
    <row r="534" spans="5:5" x14ac:dyDescent="0.25">
      <c r="E534" s="1">
        <f>IF(ABS(VALUE(teraterm[[#This Row],[Column1]]))&lt;4095,VALUE(teraterm[[#This Row],[Column1]]),0)</f>
        <v>0</v>
      </c>
    </row>
    <row r="535" spans="5:5" x14ac:dyDescent="0.25">
      <c r="E535" s="1">
        <f>IF(ABS(VALUE(teraterm[[#This Row],[Column1]]))&lt;4095,VALUE(teraterm[[#This Row],[Column1]]),0)</f>
        <v>0</v>
      </c>
    </row>
    <row r="536" spans="5:5" x14ac:dyDescent="0.25">
      <c r="E536" s="1">
        <f>IF(ABS(VALUE(teraterm[[#This Row],[Column1]]))&lt;4095,VALUE(teraterm[[#This Row],[Column1]]),0)</f>
        <v>0</v>
      </c>
    </row>
    <row r="537" spans="5:5" x14ac:dyDescent="0.25">
      <c r="E537" s="1">
        <f>IF(ABS(VALUE(teraterm[[#This Row],[Column1]]))&lt;4095,VALUE(teraterm[[#This Row],[Column1]]),0)</f>
        <v>0</v>
      </c>
    </row>
    <row r="538" spans="5:5" x14ac:dyDescent="0.25">
      <c r="E538" s="1">
        <f>IF(ABS(VALUE(teraterm[[#This Row],[Column1]]))&lt;4095,VALUE(teraterm[[#This Row],[Column1]]),0)</f>
        <v>0</v>
      </c>
    </row>
    <row r="539" spans="5:5" x14ac:dyDescent="0.25">
      <c r="E539" s="1">
        <f>IF(ABS(VALUE(teraterm[[#This Row],[Column1]]))&lt;4095,VALUE(teraterm[[#This Row],[Column1]]),0)</f>
        <v>0</v>
      </c>
    </row>
    <row r="540" spans="5:5" x14ac:dyDescent="0.25">
      <c r="E540" s="1">
        <f>IF(ABS(VALUE(teraterm[[#This Row],[Column1]]))&lt;4095,VALUE(teraterm[[#This Row],[Column1]]),0)</f>
        <v>0</v>
      </c>
    </row>
    <row r="541" spans="5:5" x14ac:dyDescent="0.25">
      <c r="E541" s="1">
        <f>IF(ABS(VALUE(teraterm[[#This Row],[Column1]]))&lt;4095,VALUE(teraterm[[#This Row],[Column1]]),0)</f>
        <v>0</v>
      </c>
    </row>
    <row r="542" spans="5:5" x14ac:dyDescent="0.25">
      <c r="E542" s="1">
        <f>IF(ABS(VALUE(teraterm[[#This Row],[Column1]]))&lt;4095,VALUE(teraterm[[#This Row],[Column1]]),0)</f>
        <v>0</v>
      </c>
    </row>
    <row r="543" spans="5:5" x14ac:dyDescent="0.25">
      <c r="E543" s="1">
        <f>IF(ABS(VALUE(teraterm[[#This Row],[Column1]]))&lt;4095,VALUE(teraterm[[#This Row],[Column1]]),0)</f>
        <v>0</v>
      </c>
    </row>
    <row r="544" spans="5:5" x14ac:dyDescent="0.25">
      <c r="E544" s="1">
        <f>IF(ABS(VALUE(teraterm[[#This Row],[Column1]]))&lt;4095,VALUE(teraterm[[#This Row],[Column1]]),0)</f>
        <v>0</v>
      </c>
    </row>
    <row r="545" spans="5:5" x14ac:dyDescent="0.25">
      <c r="E545" s="1">
        <f>IF(ABS(VALUE(teraterm[[#This Row],[Column1]]))&lt;4095,VALUE(teraterm[[#This Row],[Column1]]),0)</f>
        <v>0</v>
      </c>
    </row>
    <row r="546" spans="5:5" x14ac:dyDescent="0.25">
      <c r="E546" s="1">
        <f>IF(ABS(VALUE(teraterm[[#This Row],[Column1]]))&lt;4095,VALUE(teraterm[[#This Row],[Column1]]),0)</f>
        <v>0</v>
      </c>
    </row>
    <row r="547" spans="5:5" x14ac:dyDescent="0.25">
      <c r="E547" s="1">
        <f>IF(ABS(VALUE(teraterm[[#This Row],[Column1]]))&lt;4095,VALUE(teraterm[[#This Row],[Column1]]),0)</f>
        <v>0</v>
      </c>
    </row>
    <row r="548" spans="5:5" x14ac:dyDescent="0.25">
      <c r="E548" s="1">
        <f>IF(ABS(VALUE(teraterm[[#This Row],[Column1]]))&lt;4095,VALUE(teraterm[[#This Row],[Column1]]),0)</f>
        <v>0</v>
      </c>
    </row>
    <row r="549" spans="5:5" x14ac:dyDescent="0.25">
      <c r="E549" s="1">
        <f>IF(ABS(VALUE(teraterm[[#This Row],[Column1]]))&lt;4095,VALUE(teraterm[[#This Row],[Column1]]),0)</f>
        <v>0</v>
      </c>
    </row>
    <row r="550" spans="5:5" x14ac:dyDescent="0.25">
      <c r="E550" s="1">
        <f>IF(ABS(VALUE(teraterm[[#This Row],[Column1]]))&lt;4095,VALUE(teraterm[[#This Row],[Column1]]),0)</f>
        <v>0</v>
      </c>
    </row>
    <row r="551" spans="5:5" x14ac:dyDescent="0.25">
      <c r="E551" s="1">
        <f>IF(ABS(VALUE(teraterm[[#This Row],[Column1]]))&lt;4095,VALUE(teraterm[[#This Row],[Column1]]),0)</f>
        <v>0</v>
      </c>
    </row>
    <row r="552" spans="5:5" x14ac:dyDescent="0.25">
      <c r="E552" s="1">
        <f>IF(ABS(VALUE(teraterm[[#This Row],[Column1]]))&lt;4095,VALUE(teraterm[[#This Row],[Column1]]),0)</f>
        <v>0</v>
      </c>
    </row>
    <row r="553" spans="5:5" x14ac:dyDescent="0.25">
      <c r="E553" s="1">
        <f>IF(ABS(VALUE(teraterm[[#This Row],[Column1]]))&lt;4095,VALUE(teraterm[[#This Row],[Column1]]),0)</f>
        <v>0</v>
      </c>
    </row>
    <row r="554" spans="5:5" x14ac:dyDescent="0.25">
      <c r="E554" s="1">
        <f>IF(ABS(VALUE(teraterm[[#This Row],[Column1]]))&lt;4095,VALUE(teraterm[[#This Row],[Column1]]),0)</f>
        <v>0</v>
      </c>
    </row>
    <row r="555" spans="5:5" x14ac:dyDescent="0.25">
      <c r="E555" s="1">
        <f>IF(ABS(VALUE(teraterm[[#This Row],[Column1]]))&lt;4095,VALUE(teraterm[[#This Row],[Column1]]),0)</f>
        <v>0</v>
      </c>
    </row>
    <row r="556" spans="5:5" x14ac:dyDescent="0.25">
      <c r="E556" s="1">
        <f>IF(ABS(VALUE(teraterm[[#This Row],[Column1]]))&lt;4095,VALUE(teraterm[[#This Row],[Column1]]),0)</f>
        <v>0</v>
      </c>
    </row>
    <row r="557" spans="5:5" x14ac:dyDescent="0.25">
      <c r="E557" s="1">
        <f>IF(ABS(VALUE(teraterm[[#This Row],[Column1]]))&lt;4095,VALUE(teraterm[[#This Row],[Column1]]),0)</f>
        <v>0</v>
      </c>
    </row>
    <row r="558" spans="5:5" x14ac:dyDescent="0.25">
      <c r="E558" s="1">
        <f>IF(ABS(VALUE(teraterm[[#This Row],[Column1]]))&lt;4095,VALUE(teraterm[[#This Row],[Column1]]),0)</f>
        <v>0</v>
      </c>
    </row>
    <row r="559" spans="5:5" x14ac:dyDescent="0.25">
      <c r="E559" s="1">
        <f>IF(ABS(VALUE(teraterm[[#This Row],[Column1]]))&lt;4095,VALUE(teraterm[[#This Row],[Column1]]),0)</f>
        <v>0</v>
      </c>
    </row>
    <row r="560" spans="5:5" x14ac:dyDescent="0.25">
      <c r="E560" s="1">
        <f>IF(ABS(VALUE(teraterm[[#This Row],[Column1]]))&lt;4095,VALUE(teraterm[[#This Row],[Column1]]),0)</f>
        <v>0</v>
      </c>
    </row>
    <row r="561" spans="5:5" x14ac:dyDescent="0.25">
      <c r="E561" s="1">
        <f>IF(ABS(VALUE(teraterm[[#This Row],[Column1]]))&lt;4095,VALUE(teraterm[[#This Row],[Column1]]),0)</f>
        <v>0</v>
      </c>
    </row>
    <row r="562" spans="5:5" x14ac:dyDescent="0.25">
      <c r="E562" s="1">
        <f>IF(ABS(VALUE(teraterm[[#This Row],[Column1]]))&lt;4095,VALUE(teraterm[[#This Row],[Column1]]),0)</f>
        <v>0</v>
      </c>
    </row>
    <row r="563" spans="5:5" x14ac:dyDescent="0.25">
      <c r="E563" s="1">
        <f>IF(ABS(VALUE(teraterm[[#This Row],[Column1]]))&lt;4095,VALUE(teraterm[[#This Row],[Column1]]),0)</f>
        <v>0</v>
      </c>
    </row>
    <row r="564" spans="5:5" x14ac:dyDescent="0.25">
      <c r="E564" s="1">
        <f>IF(ABS(VALUE(teraterm[[#This Row],[Column1]]))&lt;4095,VALUE(teraterm[[#This Row],[Column1]]),0)</f>
        <v>0</v>
      </c>
    </row>
    <row r="565" spans="5:5" x14ac:dyDescent="0.25">
      <c r="E565" s="1">
        <f>IF(ABS(VALUE(teraterm[[#This Row],[Column1]]))&lt;4095,VALUE(teraterm[[#This Row],[Column1]]),0)</f>
        <v>0</v>
      </c>
    </row>
    <row r="566" spans="5:5" x14ac:dyDescent="0.25">
      <c r="E566" s="1">
        <f>IF(ABS(VALUE(teraterm[[#This Row],[Column1]]))&lt;4095,VALUE(teraterm[[#This Row],[Column1]]),0)</f>
        <v>0</v>
      </c>
    </row>
    <row r="567" spans="5:5" x14ac:dyDescent="0.25">
      <c r="E567" s="1">
        <f>IF(ABS(VALUE(teraterm[[#This Row],[Column1]]))&lt;4095,VALUE(teraterm[[#This Row],[Column1]]),0)</f>
        <v>0</v>
      </c>
    </row>
    <row r="568" spans="5:5" x14ac:dyDescent="0.25">
      <c r="E568" s="1">
        <f>IF(ABS(VALUE(teraterm[[#This Row],[Column1]]))&lt;4095,VALUE(teraterm[[#This Row],[Column1]]),0)</f>
        <v>0</v>
      </c>
    </row>
    <row r="569" spans="5:5" x14ac:dyDescent="0.25">
      <c r="E569" s="1">
        <f>IF(ABS(VALUE(teraterm[[#This Row],[Column1]]))&lt;4095,VALUE(teraterm[[#This Row],[Column1]]),0)</f>
        <v>0</v>
      </c>
    </row>
    <row r="570" spans="5:5" x14ac:dyDescent="0.25">
      <c r="E570" s="1">
        <f>IF(ABS(VALUE(teraterm[[#This Row],[Column1]]))&lt;4095,VALUE(teraterm[[#This Row],[Column1]]),0)</f>
        <v>0</v>
      </c>
    </row>
    <row r="571" spans="5:5" x14ac:dyDescent="0.25">
      <c r="E571" s="1">
        <f>IF(ABS(VALUE(teraterm[[#This Row],[Column1]]))&lt;4095,VALUE(teraterm[[#This Row],[Column1]]),0)</f>
        <v>0</v>
      </c>
    </row>
    <row r="572" spans="5:5" x14ac:dyDescent="0.25">
      <c r="E572" s="1">
        <f>IF(ABS(VALUE(teraterm[[#This Row],[Column1]]))&lt;4095,VALUE(teraterm[[#This Row],[Column1]]),0)</f>
        <v>0</v>
      </c>
    </row>
    <row r="573" spans="5:5" x14ac:dyDescent="0.25">
      <c r="E573" s="1">
        <f>IF(ABS(VALUE(teraterm[[#This Row],[Column1]]))&lt;4095,VALUE(teraterm[[#This Row],[Column1]]),0)</f>
        <v>0</v>
      </c>
    </row>
    <row r="574" spans="5:5" x14ac:dyDescent="0.25">
      <c r="E574" s="1">
        <f>IF(ABS(VALUE(teraterm[[#This Row],[Column1]]))&lt;4095,VALUE(teraterm[[#This Row],[Column1]]),0)</f>
        <v>0</v>
      </c>
    </row>
    <row r="575" spans="5:5" x14ac:dyDescent="0.25">
      <c r="E575" s="1">
        <f>IF(ABS(VALUE(teraterm[[#This Row],[Column1]]))&lt;4095,VALUE(teraterm[[#This Row],[Column1]]),0)</f>
        <v>0</v>
      </c>
    </row>
    <row r="576" spans="5:5" x14ac:dyDescent="0.25">
      <c r="E576" s="1">
        <f>IF(ABS(VALUE(teraterm[[#This Row],[Column1]]))&lt;4095,VALUE(teraterm[[#This Row],[Column1]]),0)</f>
        <v>0</v>
      </c>
    </row>
    <row r="577" spans="5:5" x14ac:dyDescent="0.25">
      <c r="E577" s="1">
        <f>IF(ABS(VALUE(teraterm[[#This Row],[Column1]]))&lt;4095,VALUE(teraterm[[#This Row],[Column1]]),0)</f>
        <v>0</v>
      </c>
    </row>
    <row r="578" spans="5:5" x14ac:dyDescent="0.25">
      <c r="E578" s="1">
        <f>IF(ABS(VALUE(teraterm[[#This Row],[Column1]]))&lt;4095,VALUE(teraterm[[#This Row],[Column1]]),0)</f>
        <v>0</v>
      </c>
    </row>
    <row r="579" spans="5:5" x14ac:dyDescent="0.25">
      <c r="E579" s="1">
        <f>IF(ABS(VALUE(teraterm[[#This Row],[Column1]]))&lt;4095,VALUE(teraterm[[#This Row],[Column1]]),0)</f>
        <v>0</v>
      </c>
    </row>
    <row r="580" spans="5:5" x14ac:dyDescent="0.25">
      <c r="E580" s="1">
        <f>IF(ABS(VALUE(teraterm[[#This Row],[Column1]]))&lt;4095,VALUE(teraterm[[#This Row],[Column1]]),0)</f>
        <v>0</v>
      </c>
    </row>
    <row r="581" spans="5:5" x14ac:dyDescent="0.25">
      <c r="E581" s="1">
        <f>IF(ABS(VALUE(teraterm[[#This Row],[Column1]]))&lt;4095,VALUE(teraterm[[#This Row],[Column1]]),0)</f>
        <v>0</v>
      </c>
    </row>
    <row r="582" spans="5:5" x14ac:dyDescent="0.25">
      <c r="E582" s="1">
        <f>IF(ABS(VALUE(teraterm[[#This Row],[Column1]]))&lt;4095,VALUE(teraterm[[#This Row],[Column1]]),0)</f>
        <v>0</v>
      </c>
    </row>
    <row r="583" spans="5:5" x14ac:dyDescent="0.25">
      <c r="E583" s="1">
        <f>IF(ABS(VALUE(teraterm[[#This Row],[Column1]]))&lt;4095,VALUE(teraterm[[#This Row],[Column1]]),0)</f>
        <v>0</v>
      </c>
    </row>
    <row r="584" spans="5:5" x14ac:dyDescent="0.25">
      <c r="E584" s="1">
        <f>IF(ABS(VALUE(teraterm[[#This Row],[Column1]]))&lt;4095,VALUE(teraterm[[#This Row],[Column1]]),0)</f>
        <v>0</v>
      </c>
    </row>
    <row r="585" spans="5:5" x14ac:dyDescent="0.25">
      <c r="E585" s="1">
        <f>IF(ABS(VALUE(teraterm[[#This Row],[Column1]]))&lt;4095,VALUE(teraterm[[#This Row],[Column1]]),0)</f>
        <v>0</v>
      </c>
    </row>
    <row r="586" spans="5:5" x14ac:dyDescent="0.25">
      <c r="E586" s="1">
        <f>IF(ABS(VALUE(teraterm[[#This Row],[Column1]]))&lt;4095,VALUE(teraterm[[#This Row],[Column1]]),0)</f>
        <v>0</v>
      </c>
    </row>
    <row r="587" spans="5:5" x14ac:dyDescent="0.25">
      <c r="E587" s="1">
        <f>IF(ABS(VALUE(teraterm[[#This Row],[Column1]]))&lt;4095,VALUE(teraterm[[#This Row],[Column1]]),0)</f>
        <v>0</v>
      </c>
    </row>
    <row r="588" spans="5:5" x14ac:dyDescent="0.25">
      <c r="E588" s="1">
        <f>IF(ABS(VALUE(teraterm[[#This Row],[Column1]]))&lt;4095,VALUE(teraterm[[#This Row],[Column1]]),0)</f>
        <v>0</v>
      </c>
    </row>
    <row r="589" spans="5:5" x14ac:dyDescent="0.25">
      <c r="E589" s="1">
        <f>IF(ABS(VALUE(teraterm[[#This Row],[Column1]]))&lt;4095,VALUE(teraterm[[#This Row],[Column1]]),0)</f>
        <v>0</v>
      </c>
    </row>
    <row r="590" spans="5:5" x14ac:dyDescent="0.25">
      <c r="E590" s="1">
        <f>IF(ABS(VALUE(teraterm[[#This Row],[Column1]]))&lt;4095,VALUE(teraterm[[#This Row],[Column1]]),0)</f>
        <v>0</v>
      </c>
    </row>
    <row r="591" spans="5:5" x14ac:dyDescent="0.25">
      <c r="E591" s="1">
        <f>IF(ABS(VALUE(teraterm[[#This Row],[Column1]]))&lt;4095,VALUE(teraterm[[#This Row],[Column1]]),0)</f>
        <v>0</v>
      </c>
    </row>
    <row r="592" spans="5:5" x14ac:dyDescent="0.25">
      <c r="E592" s="1">
        <f>IF(ABS(VALUE(teraterm[[#This Row],[Column1]]))&lt;4095,VALUE(teraterm[[#This Row],[Column1]]),0)</f>
        <v>0</v>
      </c>
    </row>
    <row r="593" spans="5:5" x14ac:dyDescent="0.25">
      <c r="E593" s="1">
        <f>IF(ABS(VALUE(teraterm[[#This Row],[Column1]]))&lt;4095,VALUE(teraterm[[#This Row],[Column1]]),0)</f>
        <v>0</v>
      </c>
    </row>
    <row r="594" spans="5:5" x14ac:dyDescent="0.25">
      <c r="E594" s="1">
        <f>IF(ABS(VALUE(teraterm[[#This Row],[Column1]]))&lt;4095,VALUE(teraterm[[#This Row],[Column1]]),0)</f>
        <v>0</v>
      </c>
    </row>
    <row r="595" spans="5:5" x14ac:dyDescent="0.25">
      <c r="E595" s="1">
        <f>IF(ABS(VALUE(teraterm[[#This Row],[Column1]]))&lt;4095,VALUE(teraterm[[#This Row],[Column1]]),0)</f>
        <v>0</v>
      </c>
    </row>
    <row r="596" spans="5:5" x14ac:dyDescent="0.25">
      <c r="E596" s="1">
        <f>IF(ABS(VALUE(teraterm[[#This Row],[Column1]]))&lt;4095,VALUE(teraterm[[#This Row],[Column1]]),0)</f>
        <v>0</v>
      </c>
    </row>
    <row r="597" spans="5:5" x14ac:dyDescent="0.25">
      <c r="E597" s="1">
        <f>IF(ABS(VALUE(teraterm[[#This Row],[Column1]]))&lt;4095,VALUE(teraterm[[#This Row],[Column1]]),0)</f>
        <v>0</v>
      </c>
    </row>
    <row r="598" spans="5:5" x14ac:dyDescent="0.25">
      <c r="E598" s="1">
        <f>IF(ABS(VALUE(teraterm[[#This Row],[Column1]]))&lt;4095,VALUE(teraterm[[#This Row],[Column1]]),0)</f>
        <v>0</v>
      </c>
    </row>
    <row r="599" spans="5:5" x14ac:dyDescent="0.25">
      <c r="E599" s="1">
        <f>IF(ABS(VALUE(teraterm[[#This Row],[Column1]]))&lt;4095,VALUE(teraterm[[#This Row],[Column1]]),0)</f>
        <v>0</v>
      </c>
    </row>
    <row r="600" spans="5:5" x14ac:dyDescent="0.25">
      <c r="E600" s="1">
        <f>IF(ABS(VALUE(teraterm[[#This Row],[Column1]]))&lt;4095,VALUE(teraterm[[#This Row],[Column1]]),0)</f>
        <v>0</v>
      </c>
    </row>
    <row r="601" spans="5:5" x14ac:dyDescent="0.25">
      <c r="E601" s="1">
        <f>IF(ABS(VALUE(teraterm[[#This Row],[Column1]]))&lt;4095,VALUE(teraterm[[#This Row],[Column1]]),0)</f>
        <v>0</v>
      </c>
    </row>
    <row r="602" spans="5:5" x14ac:dyDescent="0.25">
      <c r="E602" s="1">
        <f>IF(ABS(VALUE(teraterm[[#This Row],[Column1]]))&lt;4095,VALUE(teraterm[[#This Row],[Column1]]),0)</f>
        <v>0</v>
      </c>
    </row>
    <row r="603" spans="5:5" x14ac:dyDescent="0.25">
      <c r="E603" s="1">
        <f>IF(ABS(VALUE(teraterm[[#This Row],[Column1]]))&lt;4095,VALUE(teraterm[[#This Row],[Column1]]),0)</f>
        <v>0</v>
      </c>
    </row>
    <row r="604" spans="5:5" x14ac:dyDescent="0.25">
      <c r="E604" s="1">
        <f>IF(ABS(VALUE(teraterm[[#This Row],[Column1]]))&lt;4095,VALUE(teraterm[[#This Row],[Column1]]),0)</f>
        <v>0</v>
      </c>
    </row>
    <row r="605" spans="5:5" x14ac:dyDescent="0.25">
      <c r="E605" s="1">
        <f>IF(ABS(VALUE(teraterm[[#This Row],[Column1]]))&lt;4095,VALUE(teraterm[[#This Row],[Column1]]),0)</f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4B8624-755C-4A91-892F-63FA834035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2017-12-08T23:56:31Z</dcterms:created>
  <dcterms:modified xsi:type="dcterms:W3CDTF">2018-01-02T21:13:06Z</dcterms:modified>
</cp:coreProperties>
</file>