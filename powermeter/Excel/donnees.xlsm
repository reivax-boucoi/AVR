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AVR\AVR\powermeter\Excel\"/>
    </mc:Choice>
  </mc:AlternateContent>
  <bookViews>
    <workbookView xWindow="0" yWindow="0" windowWidth="20490" windowHeight="7530" xr2:uid="{4FA51998-39E3-4156-9903-24D988C6EFAE}"/>
  </bookViews>
  <sheets>
    <sheet name="Sheet2" sheetId="2" r:id="rId1"/>
  </sheets>
  <definedNames>
    <definedName name="ExternalData_1" localSheetId="0" hidden="1">Sheet2!$A$1:$B$350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2" i="2"/>
  <c r="R4" i="2"/>
  <c r="Q2" i="2" l="1"/>
  <c r="R2" i="2"/>
  <c r="Q3" i="2"/>
  <c r="R3" i="2"/>
  <c r="S3" i="2" l="1"/>
  <c r="S2" i="2"/>
  <c r="O2" i="2"/>
  <c r="M2" i="2"/>
  <c r="C88" i="2" l="1"/>
  <c r="F88" i="2" s="1"/>
  <c r="C89" i="2"/>
  <c r="F89" i="2" s="1"/>
  <c r="C90" i="2"/>
  <c r="F90" i="2" s="1"/>
  <c r="C91" i="2"/>
  <c r="F91" i="2" s="1"/>
  <c r="C92" i="2"/>
  <c r="F92" i="2" s="1"/>
  <c r="C93" i="2"/>
  <c r="F93" i="2" s="1"/>
  <c r="C94" i="2"/>
  <c r="F94" i="2" s="1"/>
  <c r="C95" i="2"/>
  <c r="F95" i="2" s="1"/>
  <c r="C96" i="2"/>
  <c r="F96" i="2" s="1"/>
  <c r="C97" i="2"/>
  <c r="F97" i="2" s="1"/>
  <c r="C98" i="2"/>
  <c r="F98" i="2" s="1"/>
  <c r="C99" i="2"/>
  <c r="F99" i="2" s="1"/>
  <c r="C100" i="2"/>
  <c r="F100" i="2" s="1"/>
  <c r="C101" i="2"/>
  <c r="F101" i="2" s="1"/>
  <c r="C102" i="2"/>
  <c r="F102" i="2" s="1"/>
  <c r="C103" i="2"/>
  <c r="F103" i="2" s="1"/>
  <c r="C104" i="2"/>
  <c r="F104" i="2" s="1"/>
  <c r="C105" i="2"/>
  <c r="F105" i="2" s="1"/>
  <c r="C106" i="2"/>
  <c r="F106" i="2" s="1"/>
  <c r="C107" i="2"/>
  <c r="F107" i="2" s="1"/>
  <c r="C108" i="2"/>
  <c r="F108" i="2" s="1"/>
  <c r="C109" i="2"/>
  <c r="F109" i="2" s="1"/>
  <c r="C110" i="2"/>
  <c r="F110" i="2" s="1"/>
  <c r="C111" i="2"/>
  <c r="F111" i="2" s="1"/>
  <c r="C112" i="2"/>
  <c r="F112" i="2" s="1"/>
  <c r="C113" i="2"/>
  <c r="F113" i="2" s="1"/>
  <c r="C114" i="2"/>
  <c r="F114" i="2" s="1"/>
  <c r="C115" i="2"/>
  <c r="F115" i="2" s="1"/>
  <c r="C116" i="2"/>
  <c r="F116" i="2" s="1"/>
  <c r="C117" i="2"/>
  <c r="F117" i="2" s="1"/>
  <c r="C118" i="2"/>
  <c r="F118" i="2" s="1"/>
  <c r="C119" i="2"/>
  <c r="F119" i="2" s="1"/>
  <c r="C120" i="2"/>
  <c r="F120" i="2" s="1"/>
  <c r="C121" i="2"/>
  <c r="F121" i="2" s="1"/>
  <c r="C122" i="2"/>
  <c r="F122" i="2" s="1"/>
  <c r="C123" i="2"/>
  <c r="F123" i="2" s="1"/>
  <c r="C124" i="2"/>
  <c r="F124" i="2" s="1"/>
  <c r="C125" i="2"/>
  <c r="F125" i="2" s="1"/>
  <c r="C126" i="2"/>
  <c r="F126" i="2" s="1"/>
  <c r="C127" i="2"/>
  <c r="F127" i="2" s="1"/>
  <c r="C128" i="2"/>
  <c r="F128" i="2" s="1"/>
  <c r="C129" i="2"/>
  <c r="F129" i="2" s="1"/>
  <c r="C130" i="2"/>
  <c r="F130" i="2" s="1"/>
  <c r="C131" i="2"/>
  <c r="F131" i="2" s="1"/>
  <c r="C132" i="2"/>
  <c r="F132" i="2" s="1"/>
  <c r="C133" i="2"/>
  <c r="F133" i="2" s="1"/>
  <c r="C134" i="2"/>
  <c r="F134" i="2" s="1"/>
  <c r="C135" i="2"/>
  <c r="F135" i="2" s="1"/>
  <c r="C136" i="2"/>
  <c r="F136" i="2" s="1"/>
  <c r="C137" i="2"/>
  <c r="F137" i="2" s="1"/>
  <c r="C138" i="2"/>
  <c r="F138" i="2" s="1"/>
  <c r="C139" i="2"/>
  <c r="F139" i="2" s="1"/>
  <c r="C140" i="2"/>
  <c r="F140" i="2" s="1"/>
  <c r="C141" i="2"/>
  <c r="F141" i="2" s="1"/>
  <c r="C142" i="2"/>
  <c r="F142" i="2" s="1"/>
  <c r="C143" i="2"/>
  <c r="F143" i="2" s="1"/>
  <c r="C144" i="2"/>
  <c r="F144" i="2" s="1"/>
  <c r="C145" i="2"/>
  <c r="F145" i="2" s="1"/>
  <c r="C146" i="2"/>
  <c r="F146" i="2" s="1"/>
  <c r="C147" i="2"/>
  <c r="F147" i="2" s="1"/>
  <c r="C148" i="2"/>
  <c r="F148" i="2" s="1"/>
  <c r="C149" i="2"/>
  <c r="F149" i="2" s="1"/>
  <c r="C150" i="2"/>
  <c r="F150" i="2" s="1"/>
  <c r="C151" i="2"/>
  <c r="F151" i="2" s="1"/>
  <c r="C152" i="2"/>
  <c r="F152" i="2" s="1"/>
  <c r="C153" i="2"/>
  <c r="F153" i="2" s="1"/>
  <c r="C154" i="2"/>
  <c r="F154" i="2" s="1"/>
  <c r="C155" i="2"/>
  <c r="F155" i="2" s="1"/>
  <c r="C156" i="2"/>
  <c r="F156" i="2" s="1"/>
  <c r="C157" i="2"/>
  <c r="F157" i="2" s="1"/>
  <c r="C158" i="2"/>
  <c r="F158" i="2" s="1"/>
  <c r="C159" i="2"/>
  <c r="F159" i="2" s="1"/>
  <c r="C160" i="2"/>
  <c r="F160" i="2" s="1"/>
  <c r="C161" i="2"/>
  <c r="F161" i="2" s="1"/>
  <c r="C162" i="2"/>
  <c r="F162" i="2" s="1"/>
  <c r="C163" i="2"/>
  <c r="F163" i="2" s="1"/>
  <c r="C164" i="2"/>
  <c r="F164" i="2" s="1"/>
  <c r="C165" i="2"/>
  <c r="F165" i="2" s="1"/>
  <c r="C166" i="2"/>
  <c r="F166" i="2" s="1"/>
  <c r="C167" i="2"/>
  <c r="F167" i="2" s="1"/>
  <c r="C168" i="2"/>
  <c r="F168" i="2" s="1"/>
  <c r="C169" i="2"/>
  <c r="F169" i="2" s="1"/>
  <c r="C170" i="2"/>
  <c r="F170" i="2" s="1"/>
  <c r="C171" i="2"/>
  <c r="F171" i="2" s="1"/>
  <c r="C172" i="2"/>
  <c r="F172" i="2" s="1"/>
  <c r="C173" i="2"/>
  <c r="F173" i="2" s="1"/>
  <c r="C174" i="2"/>
  <c r="F174" i="2" s="1"/>
  <c r="C175" i="2"/>
  <c r="F175" i="2" s="1"/>
  <c r="C176" i="2"/>
  <c r="F176" i="2" s="1"/>
  <c r="C177" i="2"/>
  <c r="F177" i="2" s="1"/>
  <c r="C178" i="2"/>
  <c r="F178" i="2" s="1"/>
  <c r="C179" i="2"/>
  <c r="F179" i="2" s="1"/>
  <c r="C180" i="2"/>
  <c r="F180" i="2" s="1"/>
  <c r="C181" i="2"/>
  <c r="F181" i="2" s="1"/>
  <c r="C182" i="2"/>
  <c r="F182" i="2" s="1"/>
  <c r="C183" i="2"/>
  <c r="F183" i="2" s="1"/>
  <c r="C184" i="2"/>
  <c r="F184" i="2" s="1"/>
  <c r="C185" i="2"/>
  <c r="F185" i="2" s="1"/>
  <c r="C186" i="2"/>
  <c r="F186" i="2" s="1"/>
  <c r="C187" i="2"/>
  <c r="F187" i="2" s="1"/>
  <c r="C188" i="2"/>
  <c r="F188" i="2" s="1"/>
  <c r="C189" i="2"/>
  <c r="F189" i="2" s="1"/>
  <c r="C190" i="2"/>
  <c r="F190" i="2" s="1"/>
  <c r="C191" i="2"/>
  <c r="F191" i="2" s="1"/>
  <c r="C192" i="2"/>
  <c r="F192" i="2" s="1"/>
  <c r="C193" i="2"/>
  <c r="F193" i="2" s="1"/>
  <c r="C194" i="2"/>
  <c r="F194" i="2" s="1"/>
  <c r="C195" i="2"/>
  <c r="F195" i="2" s="1"/>
  <c r="C196" i="2"/>
  <c r="F196" i="2" s="1"/>
  <c r="C197" i="2"/>
  <c r="F197" i="2" s="1"/>
  <c r="C198" i="2"/>
  <c r="F198" i="2" s="1"/>
  <c r="C199" i="2"/>
  <c r="F199" i="2" s="1"/>
  <c r="C200" i="2"/>
  <c r="F200" i="2" s="1"/>
  <c r="C201" i="2"/>
  <c r="F201" i="2" s="1"/>
  <c r="C202" i="2"/>
  <c r="F202" i="2" s="1"/>
  <c r="C203" i="2"/>
  <c r="F203" i="2" s="1"/>
  <c r="C204" i="2"/>
  <c r="F204" i="2" s="1"/>
  <c r="C205" i="2"/>
  <c r="F205" i="2" s="1"/>
  <c r="C206" i="2"/>
  <c r="F206" i="2" s="1"/>
  <c r="C207" i="2"/>
  <c r="F207" i="2" s="1"/>
  <c r="C208" i="2"/>
  <c r="F208" i="2" s="1"/>
  <c r="C209" i="2"/>
  <c r="F209" i="2" s="1"/>
  <c r="C210" i="2"/>
  <c r="F210" i="2" s="1"/>
  <c r="C211" i="2"/>
  <c r="F211" i="2" s="1"/>
  <c r="C212" i="2"/>
  <c r="F212" i="2" s="1"/>
  <c r="C213" i="2"/>
  <c r="F213" i="2" s="1"/>
  <c r="C214" i="2"/>
  <c r="F214" i="2" s="1"/>
  <c r="C215" i="2"/>
  <c r="F215" i="2" s="1"/>
  <c r="C216" i="2"/>
  <c r="F216" i="2" s="1"/>
  <c r="C217" i="2"/>
  <c r="F217" i="2" s="1"/>
  <c r="C218" i="2"/>
  <c r="F218" i="2" s="1"/>
  <c r="C219" i="2"/>
  <c r="F219" i="2" s="1"/>
  <c r="C220" i="2"/>
  <c r="F220" i="2" s="1"/>
  <c r="C221" i="2"/>
  <c r="F221" i="2" s="1"/>
  <c r="C222" i="2"/>
  <c r="F222" i="2" s="1"/>
  <c r="C223" i="2"/>
  <c r="F223" i="2" s="1"/>
  <c r="C224" i="2"/>
  <c r="F224" i="2" s="1"/>
  <c r="C225" i="2"/>
  <c r="F225" i="2" s="1"/>
  <c r="C226" i="2"/>
  <c r="F226" i="2" s="1"/>
  <c r="C227" i="2"/>
  <c r="F227" i="2" s="1"/>
  <c r="C228" i="2"/>
  <c r="F228" i="2" s="1"/>
  <c r="C229" i="2"/>
  <c r="F229" i="2" s="1"/>
  <c r="C230" i="2"/>
  <c r="F230" i="2" s="1"/>
  <c r="C231" i="2"/>
  <c r="F231" i="2" s="1"/>
  <c r="C232" i="2"/>
  <c r="F232" i="2" s="1"/>
  <c r="C233" i="2"/>
  <c r="F233" i="2" s="1"/>
  <c r="C234" i="2"/>
  <c r="F234" i="2" s="1"/>
  <c r="C235" i="2"/>
  <c r="F235" i="2" s="1"/>
  <c r="C236" i="2"/>
  <c r="F236" i="2" s="1"/>
  <c r="C237" i="2"/>
  <c r="F237" i="2" s="1"/>
  <c r="C238" i="2"/>
  <c r="F238" i="2" s="1"/>
  <c r="C239" i="2"/>
  <c r="F239" i="2" s="1"/>
  <c r="C240" i="2"/>
  <c r="F240" i="2" s="1"/>
  <c r="C241" i="2"/>
  <c r="F241" i="2" s="1"/>
  <c r="C242" i="2"/>
  <c r="F242" i="2" s="1"/>
  <c r="C243" i="2"/>
  <c r="F243" i="2" s="1"/>
  <c r="C244" i="2"/>
  <c r="F244" i="2" s="1"/>
  <c r="C245" i="2"/>
  <c r="F245" i="2" s="1"/>
  <c r="C246" i="2"/>
  <c r="F246" i="2" s="1"/>
  <c r="C247" i="2"/>
  <c r="F247" i="2" s="1"/>
  <c r="C248" i="2"/>
  <c r="F248" i="2" s="1"/>
  <c r="C249" i="2"/>
  <c r="F249" i="2" s="1"/>
  <c r="C250" i="2"/>
  <c r="F250" i="2" s="1"/>
  <c r="C251" i="2"/>
  <c r="F251" i="2" s="1"/>
  <c r="C252" i="2"/>
  <c r="F252" i="2" s="1"/>
  <c r="C253" i="2"/>
  <c r="F253" i="2" s="1"/>
  <c r="C254" i="2"/>
  <c r="F254" i="2" s="1"/>
  <c r="C255" i="2"/>
  <c r="F255" i="2" s="1"/>
  <c r="C256" i="2"/>
  <c r="F256" i="2" s="1"/>
  <c r="C257" i="2"/>
  <c r="F257" i="2" s="1"/>
  <c r="C350" i="2"/>
  <c r="F350" i="2" s="1"/>
  <c r="C346" i="2"/>
  <c r="F346" i="2" s="1"/>
  <c r="C342" i="2"/>
  <c r="F342" i="2" s="1"/>
  <c r="C338" i="2"/>
  <c r="F338" i="2" s="1"/>
  <c r="C334" i="2"/>
  <c r="F334" i="2" s="1"/>
  <c r="C330" i="2"/>
  <c r="F330" i="2" s="1"/>
  <c r="C326" i="2"/>
  <c r="F326" i="2" s="1"/>
  <c r="C322" i="2"/>
  <c r="F322" i="2" s="1"/>
  <c r="C318" i="2"/>
  <c r="F318" i="2" s="1"/>
  <c r="C314" i="2"/>
  <c r="F314" i="2" s="1"/>
  <c r="C310" i="2"/>
  <c r="F310" i="2" s="1"/>
  <c r="C306" i="2"/>
  <c r="F306" i="2" s="1"/>
  <c r="C302" i="2"/>
  <c r="F302" i="2" s="1"/>
  <c r="C298" i="2"/>
  <c r="F298" i="2" s="1"/>
  <c r="C294" i="2"/>
  <c r="F294" i="2" s="1"/>
  <c r="C290" i="2"/>
  <c r="F290" i="2" s="1"/>
  <c r="C286" i="2"/>
  <c r="F286" i="2" s="1"/>
  <c r="C282" i="2"/>
  <c r="F282" i="2" s="1"/>
  <c r="C278" i="2"/>
  <c r="F278" i="2" s="1"/>
  <c r="C274" i="2"/>
  <c r="F274" i="2" s="1"/>
  <c r="C270" i="2"/>
  <c r="F270" i="2" s="1"/>
  <c r="C266" i="2"/>
  <c r="F266" i="2" s="1"/>
  <c r="C262" i="2"/>
  <c r="F262" i="2" s="1"/>
  <c r="C258" i="2"/>
  <c r="F258" i="2" s="1"/>
  <c r="C349" i="2"/>
  <c r="F349" i="2" s="1"/>
  <c r="C345" i="2"/>
  <c r="F345" i="2" s="1"/>
  <c r="C341" i="2"/>
  <c r="F341" i="2" s="1"/>
  <c r="C337" i="2"/>
  <c r="F337" i="2" s="1"/>
  <c r="C333" i="2"/>
  <c r="F333" i="2" s="1"/>
  <c r="C329" i="2"/>
  <c r="F329" i="2" s="1"/>
  <c r="C325" i="2"/>
  <c r="F325" i="2" s="1"/>
  <c r="C321" i="2"/>
  <c r="F321" i="2" s="1"/>
  <c r="C317" i="2"/>
  <c r="F317" i="2" s="1"/>
  <c r="C313" i="2"/>
  <c r="F313" i="2" s="1"/>
  <c r="C309" i="2"/>
  <c r="F309" i="2" s="1"/>
  <c r="C305" i="2"/>
  <c r="F305" i="2" s="1"/>
  <c r="C301" i="2"/>
  <c r="F301" i="2" s="1"/>
  <c r="C297" i="2"/>
  <c r="F297" i="2" s="1"/>
  <c r="C293" i="2"/>
  <c r="F293" i="2" s="1"/>
  <c r="C289" i="2"/>
  <c r="F289" i="2" s="1"/>
  <c r="C285" i="2"/>
  <c r="F285" i="2" s="1"/>
  <c r="C281" i="2"/>
  <c r="F281" i="2" s="1"/>
  <c r="C277" i="2"/>
  <c r="F277" i="2" s="1"/>
  <c r="C273" i="2"/>
  <c r="F273" i="2" s="1"/>
  <c r="C269" i="2"/>
  <c r="F269" i="2" s="1"/>
  <c r="C265" i="2"/>
  <c r="F265" i="2" s="1"/>
  <c r="C261" i="2"/>
  <c r="F261" i="2" s="1"/>
  <c r="C87" i="2"/>
  <c r="F87" i="2" s="1"/>
  <c r="C83" i="2"/>
  <c r="F83" i="2" s="1"/>
  <c r="C79" i="2"/>
  <c r="F79" i="2" s="1"/>
  <c r="C75" i="2"/>
  <c r="F75" i="2" s="1"/>
  <c r="C71" i="2"/>
  <c r="F71" i="2" s="1"/>
  <c r="C67" i="2"/>
  <c r="F67" i="2" s="1"/>
  <c r="C63" i="2"/>
  <c r="F63" i="2" s="1"/>
  <c r="C59" i="2"/>
  <c r="F59" i="2" s="1"/>
  <c r="C55" i="2"/>
  <c r="F55" i="2" s="1"/>
  <c r="C51" i="2"/>
  <c r="F51" i="2" s="1"/>
  <c r="C47" i="2"/>
  <c r="F47" i="2" s="1"/>
  <c r="C43" i="2"/>
  <c r="F43" i="2" s="1"/>
  <c r="C39" i="2"/>
  <c r="F39" i="2" s="1"/>
  <c r="C35" i="2"/>
  <c r="F35" i="2" s="1"/>
  <c r="C31" i="2"/>
  <c r="F31" i="2" s="1"/>
  <c r="C27" i="2"/>
  <c r="F27" i="2" s="1"/>
  <c r="C23" i="2"/>
  <c r="F23" i="2" s="1"/>
  <c r="C19" i="2"/>
  <c r="F19" i="2" s="1"/>
  <c r="C15" i="2"/>
  <c r="F15" i="2" s="1"/>
  <c r="C11" i="2"/>
  <c r="F11" i="2" s="1"/>
  <c r="C7" i="2"/>
  <c r="F7" i="2" s="1"/>
  <c r="C3" i="2"/>
  <c r="F3" i="2" s="1"/>
  <c r="C84" i="2"/>
  <c r="F84" i="2" s="1"/>
  <c r="C80" i="2"/>
  <c r="F80" i="2" s="1"/>
  <c r="C76" i="2"/>
  <c r="F76" i="2" s="1"/>
  <c r="C72" i="2"/>
  <c r="F72" i="2" s="1"/>
  <c r="C68" i="2"/>
  <c r="F68" i="2" s="1"/>
  <c r="C64" i="2"/>
  <c r="F64" i="2" s="1"/>
  <c r="C60" i="2"/>
  <c r="F60" i="2" s="1"/>
  <c r="C56" i="2"/>
  <c r="F56" i="2" s="1"/>
  <c r="C52" i="2"/>
  <c r="F52" i="2" s="1"/>
  <c r="C48" i="2"/>
  <c r="F48" i="2" s="1"/>
  <c r="C44" i="2"/>
  <c r="F44" i="2" s="1"/>
  <c r="C40" i="2"/>
  <c r="F40" i="2" s="1"/>
  <c r="C36" i="2"/>
  <c r="F36" i="2" s="1"/>
  <c r="C32" i="2"/>
  <c r="F32" i="2" s="1"/>
  <c r="C28" i="2"/>
  <c r="F28" i="2" s="1"/>
  <c r="C24" i="2"/>
  <c r="F24" i="2" s="1"/>
  <c r="C20" i="2"/>
  <c r="F20" i="2" s="1"/>
  <c r="C16" i="2"/>
  <c r="F16" i="2" s="1"/>
  <c r="C12" i="2"/>
  <c r="F12" i="2" s="1"/>
  <c r="C8" i="2"/>
  <c r="F8" i="2" s="1"/>
  <c r="C4" i="2"/>
  <c r="F4" i="2" s="1"/>
  <c r="C348" i="2"/>
  <c r="F348" i="2" s="1"/>
  <c r="C344" i="2"/>
  <c r="F344" i="2" s="1"/>
  <c r="C340" i="2"/>
  <c r="F340" i="2" s="1"/>
  <c r="C336" i="2"/>
  <c r="F336" i="2" s="1"/>
  <c r="C332" i="2"/>
  <c r="F332" i="2" s="1"/>
  <c r="C328" i="2"/>
  <c r="F328" i="2" s="1"/>
  <c r="C324" i="2"/>
  <c r="F324" i="2" s="1"/>
  <c r="C320" i="2"/>
  <c r="F320" i="2" s="1"/>
  <c r="C316" i="2"/>
  <c r="F316" i="2" s="1"/>
  <c r="C312" i="2"/>
  <c r="F312" i="2" s="1"/>
  <c r="C308" i="2"/>
  <c r="F308" i="2" s="1"/>
  <c r="C304" i="2"/>
  <c r="F304" i="2" s="1"/>
  <c r="C300" i="2"/>
  <c r="F300" i="2" s="1"/>
  <c r="C296" i="2"/>
  <c r="F296" i="2" s="1"/>
  <c r="C292" i="2"/>
  <c r="F292" i="2" s="1"/>
  <c r="C288" i="2"/>
  <c r="F288" i="2" s="1"/>
  <c r="C284" i="2"/>
  <c r="F284" i="2" s="1"/>
  <c r="C280" i="2"/>
  <c r="F280" i="2" s="1"/>
  <c r="C276" i="2"/>
  <c r="F276" i="2" s="1"/>
  <c r="C272" i="2"/>
  <c r="F272" i="2" s="1"/>
  <c r="C268" i="2"/>
  <c r="F268" i="2" s="1"/>
  <c r="C264" i="2"/>
  <c r="F264" i="2" s="1"/>
  <c r="C260" i="2"/>
  <c r="F260" i="2" s="1"/>
  <c r="C2" i="2"/>
  <c r="F2" i="2" s="1"/>
  <c r="C347" i="2"/>
  <c r="F347" i="2" s="1"/>
  <c r="C343" i="2"/>
  <c r="F343" i="2" s="1"/>
  <c r="C339" i="2"/>
  <c r="F339" i="2" s="1"/>
  <c r="C335" i="2"/>
  <c r="F335" i="2" s="1"/>
  <c r="C331" i="2"/>
  <c r="F331" i="2" s="1"/>
  <c r="C327" i="2"/>
  <c r="F327" i="2" s="1"/>
  <c r="C323" i="2"/>
  <c r="F323" i="2" s="1"/>
  <c r="C319" i="2"/>
  <c r="F319" i="2" s="1"/>
  <c r="C315" i="2"/>
  <c r="F315" i="2" s="1"/>
  <c r="C311" i="2"/>
  <c r="F311" i="2" s="1"/>
  <c r="C307" i="2"/>
  <c r="F307" i="2" s="1"/>
  <c r="C303" i="2"/>
  <c r="F303" i="2" s="1"/>
  <c r="C299" i="2"/>
  <c r="F299" i="2" s="1"/>
  <c r="C295" i="2"/>
  <c r="F295" i="2" s="1"/>
  <c r="C291" i="2"/>
  <c r="F291" i="2" s="1"/>
  <c r="C287" i="2"/>
  <c r="F287" i="2" s="1"/>
  <c r="C283" i="2"/>
  <c r="F283" i="2" s="1"/>
  <c r="C279" i="2"/>
  <c r="F279" i="2" s="1"/>
  <c r="C275" i="2"/>
  <c r="F275" i="2" s="1"/>
  <c r="C271" i="2"/>
  <c r="F271" i="2" s="1"/>
  <c r="C267" i="2"/>
  <c r="F267" i="2" s="1"/>
  <c r="C263" i="2"/>
  <c r="F263" i="2" s="1"/>
  <c r="C259" i="2"/>
  <c r="F259" i="2" s="1"/>
  <c r="C85" i="2"/>
  <c r="F85" i="2" s="1"/>
  <c r="C81" i="2"/>
  <c r="F81" i="2" s="1"/>
  <c r="C77" i="2"/>
  <c r="F77" i="2" s="1"/>
  <c r="C73" i="2"/>
  <c r="F73" i="2" s="1"/>
  <c r="C69" i="2"/>
  <c r="F69" i="2" s="1"/>
  <c r="C65" i="2"/>
  <c r="F65" i="2" s="1"/>
  <c r="C61" i="2"/>
  <c r="F61" i="2" s="1"/>
  <c r="C57" i="2"/>
  <c r="F57" i="2" s="1"/>
  <c r="C53" i="2"/>
  <c r="F53" i="2" s="1"/>
  <c r="C49" i="2"/>
  <c r="F49" i="2" s="1"/>
  <c r="C45" i="2"/>
  <c r="F45" i="2" s="1"/>
  <c r="C41" i="2"/>
  <c r="F41" i="2" s="1"/>
  <c r="C37" i="2"/>
  <c r="F37" i="2" s="1"/>
  <c r="C33" i="2"/>
  <c r="F33" i="2" s="1"/>
  <c r="C29" i="2"/>
  <c r="F29" i="2" s="1"/>
  <c r="C25" i="2"/>
  <c r="F25" i="2" s="1"/>
  <c r="C21" i="2"/>
  <c r="F21" i="2" s="1"/>
  <c r="C17" i="2"/>
  <c r="F17" i="2" s="1"/>
  <c r="C13" i="2"/>
  <c r="F13" i="2" s="1"/>
  <c r="C9" i="2"/>
  <c r="F9" i="2" s="1"/>
  <c r="C5" i="2"/>
  <c r="F5" i="2" s="1"/>
  <c r="C86" i="2"/>
  <c r="F86" i="2" s="1"/>
  <c r="C82" i="2"/>
  <c r="F82" i="2" s="1"/>
  <c r="C78" i="2"/>
  <c r="F78" i="2" s="1"/>
  <c r="C74" i="2"/>
  <c r="F74" i="2" s="1"/>
  <c r="C70" i="2"/>
  <c r="F70" i="2" s="1"/>
  <c r="C66" i="2"/>
  <c r="F66" i="2" s="1"/>
  <c r="C62" i="2"/>
  <c r="F62" i="2" s="1"/>
  <c r="C58" i="2"/>
  <c r="F58" i="2" s="1"/>
  <c r="C54" i="2"/>
  <c r="F54" i="2" s="1"/>
  <c r="C50" i="2"/>
  <c r="F50" i="2" s="1"/>
  <c r="C46" i="2"/>
  <c r="F46" i="2" s="1"/>
  <c r="C42" i="2"/>
  <c r="F42" i="2" s="1"/>
  <c r="C38" i="2"/>
  <c r="F38" i="2" s="1"/>
  <c r="C34" i="2"/>
  <c r="F34" i="2" s="1"/>
  <c r="C30" i="2"/>
  <c r="F30" i="2" s="1"/>
  <c r="C26" i="2"/>
  <c r="F26" i="2" s="1"/>
  <c r="C22" i="2"/>
  <c r="F22" i="2" s="1"/>
  <c r="C18" i="2"/>
  <c r="F18" i="2" s="1"/>
  <c r="C14" i="2"/>
  <c r="F14" i="2" s="1"/>
  <c r="C10" i="2"/>
  <c r="F10" i="2" s="1"/>
  <c r="C6" i="2"/>
  <c r="F6" i="2" s="1"/>
  <c r="D3" i="2"/>
  <c r="D5" i="2"/>
  <c r="D7" i="2"/>
  <c r="D9" i="2"/>
  <c r="D11" i="2"/>
  <c r="D13" i="2"/>
  <c r="D15" i="2"/>
  <c r="D17" i="2"/>
  <c r="D19" i="2"/>
  <c r="D21" i="2"/>
  <c r="D23" i="2"/>
  <c r="D25" i="2"/>
  <c r="D27" i="2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2" i="2"/>
  <c r="D4" i="2"/>
  <c r="D6" i="2"/>
  <c r="D8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D50" i="2"/>
  <c r="D52" i="2"/>
  <c r="D54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2" i="2"/>
  <c r="D84" i="2"/>
  <c r="D86" i="2"/>
  <c r="O3" i="2" l="1"/>
  <c r="K1" i="2"/>
  <c r="M4" i="2" s="1"/>
  <c r="M3" i="2"/>
  <c r="O4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eraterm" description="Connection to the 'teraterm' query in the workbook." type="5" refreshedVersion="6" background="1" saveData="1">
    <dbPr connection="Provider=Microsoft.Mashup.OleDb.1;Data Source=$Workbook$;Location=teraterm;Extended Properties=&quot;&quot;" command="SELECT * FROM [teraterm]"/>
  </connection>
</connections>
</file>

<file path=xl/sharedStrings.xml><?xml version="1.0" encoding="utf-8"?>
<sst xmlns="http://schemas.openxmlformats.org/spreadsheetml/2006/main" count="24" uniqueCount="21">
  <si>
    <t>Column1</t>
  </si>
  <si>
    <t>Column2</t>
  </si>
  <si>
    <t>offset</t>
  </si>
  <si>
    <t>r1</t>
  </si>
  <si>
    <t>r2</t>
  </si>
  <si>
    <t>V(V)</t>
  </si>
  <si>
    <t>Value(V)</t>
  </si>
  <si>
    <t>V²</t>
  </si>
  <si>
    <t>Vrms</t>
  </si>
  <si>
    <t>vmains</t>
  </si>
  <si>
    <t>gain error</t>
  </si>
  <si>
    <t>min</t>
  </si>
  <si>
    <t>max</t>
  </si>
  <si>
    <t xml:space="preserve">gain  </t>
  </si>
  <si>
    <t>gain adc</t>
  </si>
  <si>
    <t>total</t>
  </si>
  <si>
    <t>gain Rs</t>
  </si>
  <si>
    <t>v</t>
  </si>
  <si>
    <t>i</t>
  </si>
  <si>
    <t>ioffset</t>
  </si>
  <si>
    <t>I(mA)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</si>
</sst>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595030157041399E-2"/>
          <c:y val="7.2607260726072612E-2"/>
          <c:w val="0.84006932989776317"/>
          <c:h val="0.88713442997843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V(V)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Sheet2!$C$2:$C$90</c:f>
              <c:numCache>
                <c:formatCode>0.00</c:formatCode>
                <c:ptCount val="89"/>
                <c:pt idx="0">
                  <c:v>-273.5595703125</c:v>
                </c:pt>
                <c:pt idx="1">
                  <c:v>15.501708984375</c:v>
                </c:pt>
                <c:pt idx="2">
                  <c:v>-6.20068359375</c:v>
                </c:pt>
                <c:pt idx="3">
                  <c:v>-28.4501953125</c:v>
                </c:pt>
                <c:pt idx="4">
                  <c:v>-52.7969970703125</c:v>
                </c:pt>
                <c:pt idx="5">
                  <c:v>-78.78515625</c:v>
                </c:pt>
                <c:pt idx="6">
                  <c:v>-103.770263671875</c:v>
                </c:pt>
                <c:pt idx="7">
                  <c:v>-126.8404541015625</c:v>
                </c:pt>
                <c:pt idx="8">
                  <c:v>-150.3665771484375</c:v>
                </c:pt>
                <c:pt idx="9">
                  <c:v>-172.4337158203125</c:v>
                </c:pt>
                <c:pt idx="10">
                  <c:v>-192.95068359375</c:v>
                </c:pt>
                <c:pt idx="11">
                  <c:v>-212.829345703125</c:v>
                </c:pt>
                <c:pt idx="12">
                  <c:v>-228.7869873046875</c:v>
                </c:pt>
                <c:pt idx="13">
                  <c:v>-241.7354736328125</c:v>
                </c:pt>
                <c:pt idx="14">
                  <c:v>-250.4893798828125</c:v>
                </c:pt>
                <c:pt idx="15">
                  <c:v>-253.0426025390625</c:v>
                </c:pt>
                <c:pt idx="16">
                  <c:v>-254.045654296875</c:v>
                </c:pt>
                <c:pt idx="17">
                  <c:v>-254.5015869140625</c:v>
                </c:pt>
                <c:pt idx="18">
                  <c:v>-253.49853515625</c:v>
                </c:pt>
                <c:pt idx="19">
                  <c:v>-248.1185302734375</c:v>
                </c:pt>
                <c:pt idx="20">
                  <c:v>-234.53173828125</c:v>
                </c:pt>
                <c:pt idx="21">
                  <c:v>-216.112060546875</c:v>
                </c:pt>
                <c:pt idx="22">
                  <c:v>-197.4188232421875</c:v>
                </c:pt>
                <c:pt idx="23">
                  <c:v>-176.719482421875</c:v>
                </c:pt>
                <c:pt idx="24">
                  <c:v>-154.105224609375</c:v>
                </c:pt>
                <c:pt idx="25">
                  <c:v>-131.855712890625</c:v>
                </c:pt>
                <c:pt idx="26">
                  <c:v>-107.8736572265625</c:v>
                </c:pt>
                <c:pt idx="27">
                  <c:v>-82.3414306640625</c:v>
                </c:pt>
                <c:pt idx="28">
                  <c:v>-57.1739501953125</c:v>
                </c:pt>
                <c:pt idx="29">
                  <c:v>-34.7420654296875</c:v>
                </c:pt>
                <c:pt idx="30">
                  <c:v>-12.03662109375</c:v>
                </c:pt>
                <c:pt idx="31">
                  <c:v>10.030517578125</c:v>
                </c:pt>
                <c:pt idx="32">
                  <c:v>29.726806640625</c:v>
                </c:pt>
                <c:pt idx="33">
                  <c:v>48.51123046875</c:v>
                </c:pt>
                <c:pt idx="34">
                  <c:v>64.9248046875</c:v>
                </c:pt>
                <c:pt idx="35">
                  <c:v>77.873291015625</c:v>
                </c:pt>
                <c:pt idx="36">
                  <c:v>87.356689453125</c:v>
                </c:pt>
                <c:pt idx="37">
                  <c:v>91.4600830078125</c:v>
                </c:pt>
                <c:pt idx="38">
                  <c:v>93.1014404296875</c:v>
                </c:pt>
                <c:pt idx="39">
                  <c:v>94.1044921875</c:v>
                </c:pt>
                <c:pt idx="40">
                  <c:v>94.3780517578125</c:v>
                </c:pt>
                <c:pt idx="41">
                  <c:v>92.1895751953125</c:v>
                </c:pt>
                <c:pt idx="42">
                  <c:v>82.79736328125</c:v>
                </c:pt>
                <c:pt idx="43">
                  <c:v>64.9248046875</c:v>
                </c:pt>
                <c:pt idx="44">
                  <c:v>47.6905517578125</c:v>
                </c:pt>
                <c:pt idx="45">
                  <c:v>29.362060546875</c:v>
                </c:pt>
                <c:pt idx="46">
                  <c:v>7.9332275390625</c:v>
                </c:pt>
                <c:pt idx="47">
                  <c:v>-13.8603515625</c:v>
                </c:pt>
                <c:pt idx="48">
                  <c:v>-36.5657958984375</c:v>
                </c:pt>
                <c:pt idx="49">
                  <c:v>-62.0980224609375</c:v>
                </c:pt>
                <c:pt idx="50">
                  <c:v>-88.1773681640625</c:v>
                </c:pt>
                <c:pt idx="51">
                  <c:v>-111.7034912109375</c:v>
                </c:pt>
                <c:pt idx="52">
                  <c:v>-134.9560546875</c:v>
                </c:pt>
                <c:pt idx="53">
                  <c:v>-158.3909912109375</c:v>
                </c:pt>
                <c:pt idx="54">
                  <c:v>-179.7286376953125</c:v>
                </c:pt>
                <c:pt idx="55">
                  <c:v>-199.698486328125</c:v>
                </c:pt>
                <c:pt idx="56">
                  <c:v>-218.300537109375</c:v>
                </c:pt>
                <c:pt idx="57">
                  <c:v>-234.0758056640625</c:v>
                </c:pt>
                <c:pt idx="58">
                  <c:v>-245.47412109375</c:v>
                </c:pt>
                <c:pt idx="59">
                  <c:v>-251.5836181640625</c:v>
                </c:pt>
                <c:pt idx="60">
                  <c:v>-253.49853515625</c:v>
                </c:pt>
                <c:pt idx="61">
                  <c:v>-254.3192138671875</c:v>
                </c:pt>
                <c:pt idx="62">
                  <c:v>-254.410400390625</c:v>
                </c:pt>
                <c:pt idx="63">
                  <c:v>-252.6778564453125</c:v>
                </c:pt>
                <c:pt idx="64">
                  <c:v>-244.74462890625</c:v>
                </c:pt>
                <c:pt idx="65">
                  <c:v>-227.8751220703125</c:v>
                </c:pt>
                <c:pt idx="66">
                  <c:v>-209.4554443359375</c:v>
                </c:pt>
                <c:pt idx="67">
                  <c:v>-190.8533935546875</c:v>
                </c:pt>
                <c:pt idx="68">
                  <c:v>-168.9686279296875</c:v>
                </c:pt>
                <c:pt idx="69">
                  <c:v>-146.3543701171875</c:v>
                </c:pt>
                <c:pt idx="70">
                  <c:v>-124.013671875</c:v>
                </c:pt>
                <c:pt idx="71">
                  <c:v>-99.3021240234375</c:v>
                </c:pt>
                <c:pt idx="72">
                  <c:v>-73.4051513671875</c:v>
                </c:pt>
                <c:pt idx="73">
                  <c:v>-48.9671630859375</c:v>
                </c:pt>
                <c:pt idx="74">
                  <c:v>-26.808837890625</c:v>
                </c:pt>
                <c:pt idx="75">
                  <c:v>-4.194580078125</c:v>
                </c:pt>
                <c:pt idx="76">
                  <c:v>16.7783203125</c:v>
                </c:pt>
                <c:pt idx="77">
                  <c:v>36.292236328125</c:v>
                </c:pt>
                <c:pt idx="78">
                  <c:v>54.8031005859375</c:v>
                </c:pt>
                <c:pt idx="79">
                  <c:v>69.9400634765625</c:v>
                </c:pt>
                <c:pt idx="80">
                  <c:v>81.885498046875</c:v>
                </c:pt>
                <c:pt idx="81">
                  <c:v>89.545166015625</c:v>
                </c:pt>
                <c:pt idx="82">
                  <c:v>92.0072021484375</c:v>
                </c:pt>
                <c:pt idx="83">
                  <c:v>93.557373046875</c:v>
                </c:pt>
                <c:pt idx="84">
                  <c:v>94.3780517578125</c:v>
                </c:pt>
                <c:pt idx="85">
                  <c:v>94.1044921875</c:v>
                </c:pt>
                <c:pt idx="86">
                  <c:v>89.36279296875</c:v>
                </c:pt>
                <c:pt idx="87">
                  <c:v>76.5966796875</c:v>
                </c:pt>
                <c:pt idx="88">
                  <c:v>59.1800537109375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080360"/>
        <c:axId val="773080688"/>
      </c:scatterChart>
      <c:scatterChart>
        <c:scatterStyle val="lineMarker"/>
        <c:varyColors val="0"/>
        <c:ser>
          <c:idx val="1"/>
          <c:order val="1"/>
          <c:tx>
            <c:strRef>
              <c:f>Sheet2!$D$1</c:f>
              <c:strCache>
                <c:ptCount val="1"/>
                <c:pt idx="0">
                  <c:v>I(mA)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Sheet2!$D$2:$D$90</c:f>
              <c:numCache>
                <c:formatCode>0.00</c:formatCode>
                <c:ptCount val="89"/>
                <c:pt idx="0">
                  <c:v>0</c:v>
                </c:pt>
                <c:pt idx="1">
                  <c:v>-4801.4322916666661</c:v>
                </c:pt>
                <c:pt idx="2">
                  <c:v>-3227.5390624999995</c:v>
                </c:pt>
                <c:pt idx="3">
                  <c:v>-2178.548177083333</c:v>
                </c:pt>
                <c:pt idx="4">
                  <c:v>-3415.9342447916665</c:v>
                </c:pt>
                <c:pt idx="5">
                  <c:v>-6411.946614583333</c:v>
                </c:pt>
                <c:pt idx="6">
                  <c:v>-8150.634765625</c:v>
                </c:pt>
                <c:pt idx="7">
                  <c:v>-7599.2838541666661</c:v>
                </c:pt>
                <c:pt idx="8">
                  <c:v>-7465.0065104166661</c:v>
                </c:pt>
                <c:pt idx="9">
                  <c:v>-5566.8131510416661</c:v>
                </c:pt>
                <c:pt idx="10">
                  <c:v>-1807.8613281249998</c:v>
                </c:pt>
                <c:pt idx="11">
                  <c:v>2766.927083333333</c:v>
                </c:pt>
                <c:pt idx="12">
                  <c:v>11889.648437499998</c:v>
                </c:pt>
                <c:pt idx="13">
                  <c:v>-2161.865234375</c:v>
                </c:pt>
                <c:pt idx="14">
                  <c:v>-11385.498046874998</c:v>
                </c:pt>
                <c:pt idx="15">
                  <c:v>13149.414062499998</c:v>
                </c:pt>
                <c:pt idx="16">
                  <c:v>12789.713541666666</c:v>
                </c:pt>
                <c:pt idx="17">
                  <c:v>13054.199218749998</c:v>
                </c:pt>
                <c:pt idx="18">
                  <c:v>-11689.046223958332</c:v>
                </c:pt>
                <c:pt idx="19">
                  <c:v>-4792.48046875</c:v>
                </c:pt>
                <c:pt idx="20">
                  <c:v>11415.608723958332</c:v>
                </c:pt>
                <c:pt idx="21">
                  <c:v>6392.8222656249991</c:v>
                </c:pt>
                <c:pt idx="22">
                  <c:v>1596.6796874999998</c:v>
                </c:pt>
                <c:pt idx="23">
                  <c:v>-1002.197265625</c:v>
                </c:pt>
                <c:pt idx="24">
                  <c:v>-1516.1132812499998</c:v>
                </c:pt>
                <c:pt idx="25">
                  <c:v>-2547.200520833333</c:v>
                </c:pt>
                <c:pt idx="26">
                  <c:v>-1706.9498697916665</c:v>
                </c:pt>
                <c:pt idx="27">
                  <c:v>789.79492187499989</c:v>
                </c:pt>
                <c:pt idx="28">
                  <c:v>2757.5683593749995</c:v>
                </c:pt>
                <c:pt idx="29">
                  <c:v>1500.6510416666665</c:v>
                </c:pt>
                <c:pt idx="30">
                  <c:v>455.72916666666663</c:v>
                </c:pt>
                <c:pt idx="31">
                  <c:v>-1415.6087239583333</c:v>
                </c:pt>
                <c:pt idx="32">
                  <c:v>-6081.5429687499991</c:v>
                </c:pt>
                <c:pt idx="33">
                  <c:v>-11870.930989583332</c:v>
                </c:pt>
                <c:pt idx="34">
                  <c:v>6226.8066406249991</c:v>
                </c:pt>
                <c:pt idx="35">
                  <c:v>-6355.3873697916661</c:v>
                </c:pt>
                <c:pt idx="36">
                  <c:v>3731.282552083333</c:v>
                </c:pt>
                <c:pt idx="37">
                  <c:v>7656.6569010416661</c:v>
                </c:pt>
                <c:pt idx="38">
                  <c:v>8765.0553385416661</c:v>
                </c:pt>
                <c:pt idx="39">
                  <c:v>9142.6595052083321</c:v>
                </c:pt>
                <c:pt idx="40">
                  <c:v>8688.96484375</c:v>
                </c:pt>
                <c:pt idx="41">
                  <c:v>5435.384114583333</c:v>
                </c:pt>
                <c:pt idx="42">
                  <c:v>-6002.6041666666661</c:v>
                </c:pt>
                <c:pt idx="43">
                  <c:v>-378.82486979166663</c:v>
                </c:pt>
                <c:pt idx="44">
                  <c:v>6053.4667968749991</c:v>
                </c:pt>
                <c:pt idx="45">
                  <c:v>11319.580078124998</c:v>
                </c:pt>
                <c:pt idx="46">
                  <c:v>13141.682942708332</c:v>
                </c:pt>
                <c:pt idx="47">
                  <c:v>-12021.077473958332</c:v>
                </c:pt>
                <c:pt idx="48">
                  <c:v>-11456.298828124998</c:v>
                </c:pt>
                <c:pt idx="49">
                  <c:v>12660.319010416666</c:v>
                </c:pt>
                <c:pt idx="50">
                  <c:v>9602.05078125</c:v>
                </c:pt>
                <c:pt idx="51">
                  <c:v>9565.0227864583321</c:v>
                </c:pt>
                <c:pt idx="52">
                  <c:v>9943.84765625</c:v>
                </c:pt>
                <c:pt idx="53">
                  <c:v>10217.692057291666</c:v>
                </c:pt>
                <c:pt idx="54">
                  <c:v>12980.957031249998</c:v>
                </c:pt>
                <c:pt idx="55">
                  <c:v>-9272.4609375</c:v>
                </c:pt>
                <c:pt idx="56">
                  <c:v>-3215.7389322916665</c:v>
                </c:pt>
                <c:pt idx="57">
                  <c:v>6137.6953124999991</c:v>
                </c:pt>
                <c:pt idx="58">
                  <c:v>-6127.1158854166661</c:v>
                </c:pt>
                <c:pt idx="59">
                  <c:v>-12326.253255208332</c:v>
                </c:pt>
                <c:pt idx="60">
                  <c:v>12938.639322916666</c:v>
                </c:pt>
                <c:pt idx="61">
                  <c:v>12787.272135416666</c:v>
                </c:pt>
                <c:pt idx="62">
                  <c:v>-13199.869791666666</c:v>
                </c:pt>
                <c:pt idx="63">
                  <c:v>-10447.998046874998</c:v>
                </c:pt>
                <c:pt idx="64">
                  <c:v>-651.04166666666663</c:v>
                </c:pt>
                <c:pt idx="65">
                  <c:v>-7390.5436197916661</c:v>
                </c:pt>
                <c:pt idx="66">
                  <c:v>-12444.254557291666</c:v>
                </c:pt>
                <c:pt idx="67">
                  <c:v>9291.9921875</c:v>
                </c:pt>
                <c:pt idx="68">
                  <c:v>8011.8815104166661</c:v>
                </c:pt>
                <c:pt idx="69">
                  <c:v>7462.972005208333</c:v>
                </c:pt>
                <c:pt idx="70">
                  <c:v>6500.6510416666661</c:v>
                </c:pt>
                <c:pt idx="71">
                  <c:v>8135.5794270833321</c:v>
                </c:pt>
                <c:pt idx="72">
                  <c:v>11008.707682291666</c:v>
                </c:pt>
                <c:pt idx="73">
                  <c:v>12106.526692708332</c:v>
                </c:pt>
                <c:pt idx="74">
                  <c:v>10501.708984374998</c:v>
                </c:pt>
                <c:pt idx="75">
                  <c:v>9318.0338541666661</c:v>
                </c:pt>
                <c:pt idx="76">
                  <c:v>6166.9921874999991</c:v>
                </c:pt>
                <c:pt idx="77">
                  <c:v>1263.8346354166665</c:v>
                </c:pt>
                <c:pt idx="78">
                  <c:v>-4865.72265625</c:v>
                </c:pt>
                <c:pt idx="79">
                  <c:v>11752.115885416666</c:v>
                </c:pt>
                <c:pt idx="80">
                  <c:v>-1993.0013020833333</c:v>
                </c:pt>
                <c:pt idx="81">
                  <c:v>6001.3834635416661</c:v>
                </c:pt>
                <c:pt idx="82">
                  <c:v>8050.1302083333321</c:v>
                </c:pt>
                <c:pt idx="83">
                  <c:v>9053.1412760416661</c:v>
                </c:pt>
                <c:pt idx="84">
                  <c:v>9222.412109375</c:v>
                </c:pt>
                <c:pt idx="85">
                  <c:v>8145.751953125</c:v>
                </c:pt>
                <c:pt idx="86">
                  <c:v>1988.9322916666665</c:v>
                </c:pt>
                <c:pt idx="87">
                  <c:v>-13274.739583333332</c:v>
                </c:pt>
                <c:pt idx="88">
                  <c:v>-7103.6783854166661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78304"/>
        <c:axId val="401778960"/>
      </c:scatterChart>
      <c:valAx>
        <c:axId val="773080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688"/>
        <c:crosses val="autoZero"/>
        <c:crossBetween val="midCat"/>
      </c:valAx>
      <c:valAx>
        <c:axId val="7730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Tension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360"/>
        <c:crosses val="autoZero"/>
        <c:crossBetween val="midCat"/>
      </c:valAx>
      <c:valAx>
        <c:axId val="401778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Courant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1778304"/>
        <c:crosses val="max"/>
        <c:crossBetween val="midCat"/>
      </c:valAx>
      <c:valAx>
        <c:axId val="4017783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77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28576</xdr:rowOff>
    </xdr:from>
    <xdr:to>
      <xdr:col>20</xdr:col>
      <xdr:colOff>323850</xdr:colOff>
      <xdr:row>21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0B3CB9-E9D4-44D3-8E21-A6F147CCB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</xdr:colOff>
      <xdr:row>0</xdr:row>
      <xdr:rowOff>47625</xdr:rowOff>
    </xdr:from>
    <xdr:to>
      <xdr:col>7</xdr:col>
      <xdr:colOff>9525</xdr:colOff>
      <xdr:row>1</xdr:row>
      <xdr:rowOff>171450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E36F7E39-3066-4D12-A26B-B28A0477BB3F}"/>
            </a:ext>
          </a:extLst>
        </xdr:cNvPr>
        <xdr:cNvSpPr/>
      </xdr:nvSpPr>
      <xdr:spPr>
        <a:xfrm>
          <a:off x="3162300" y="47625"/>
          <a:ext cx="5524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Query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7" unboundColumnsRight="4">
    <queryTableFields count="6">
      <queryTableField id="1" name="Column1" tableColumnId="1"/>
      <queryTableField id="2" name="Column2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94D41-142B-4326-B960-4263C333E552}" name="teraterm" displayName="teraterm" ref="A1:F350" tableType="queryTable" totalsRowShown="0" headerRowDxfId="7" dataDxfId="6">
  <autoFilter ref="A1:F350" xr:uid="{73959190-818C-4313-9F31-FBA3203B42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6CCB6EC-2E71-4782-BC8B-B804AB00774B}" uniqueName="1" name="Column1" queryTableFieldId="1" dataDxfId="5"/>
    <tableColumn id="2" xr3:uid="{147C4680-2907-4E5E-A4F0-91C8FD2210DA}" uniqueName="2" name="Column2" queryTableFieldId="2" dataDxfId="4"/>
    <tableColumn id="3" xr3:uid="{82FA24D1-7923-4318-BF07-89A96DD1F29B}" uniqueName="3" name="V(V)" queryTableFieldId="3" dataDxfId="3">
      <calculatedColumnFormula>(teraterm[[#This Row],[Value(V)]]+$K$2)*$S$2</calculatedColumnFormula>
    </tableColumn>
    <tableColumn id="4" xr3:uid="{BD5BA2A1-1673-4F98-8607-21E4354686E3}" uniqueName="4" name="I(mA)" queryTableFieldId="4" dataDxfId="2">
      <calculatedColumnFormula>(teraterm[[#This Row],[Column2]]-Q$4)*$S$3*1000</calculatedColumnFormula>
    </tableColumn>
    <tableColumn id="5" xr3:uid="{F283EBE1-3657-4410-9954-79EC01FD15B6}" uniqueName="5" name="Value(V)" queryTableFieldId="5" dataDxfId="1">
      <calculatedColumnFormula>IF(ABS(VALUE(teraterm[[#This Row],[Column1]]))&lt;4096,VALUE(teraterm[[#This Row],[Column1]]),0)</calculatedColumnFormula>
    </tableColumn>
    <tableColumn id="6" xr3:uid="{A526BA89-383A-494C-93E5-C20A9281FF8D}" uniqueName="6" name="V²" queryTableFieldId="6" dataDxfId="0">
      <calculatedColumnFormula>teraterm[[#This Row],[V(V)]]^2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9B1D-5EB7-476F-A909-98813A2B061E}">
  <sheetPr codeName="Sheet1"/>
  <dimension ref="A1:T350"/>
  <sheetViews>
    <sheetView tabSelected="1" zoomScaleNormal="100" workbookViewId="0">
      <selection activeCell="I2" sqref="I2"/>
    </sheetView>
  </sheetViews>
  <sheetFormatPr defaultRowHeight="15" x14ac:dyDescent="0.25"/>
  <cols>
    <col min="1" max="1" width="13.42578125" style="1" bestFit="1" customWidth="1"/>
    <col min="2" max="2" width="13.42578125" style="2" bestFit="1" customWidth="1"/>
    <col min="3" max="3" width="9.5703125" style="1" bestFit="1" customWidth="1"/>
    <col min="4" max="4" width="10.5703125" style="1" bestFit="1" customWidth="1"/>
    <col min="5" max="5" width="13.42578125" style="1" customWidth="1"/>
    <col min="6" max="6" width="8.5703125" style="1" bestFit="1" customWidth="1"/>
    <col min="7" max="7" width="8.5703125" style="1" customWidth="1"/>
    <col min="8" max="8" width="4" style="2" bestFit="1" customWidth="1"/>
    <col min="9" max="9" width="8.42578125" style="2" bestFit="1" customWidth="1"/>
    <col min="10" max="10" width="7.28515625" style="2" bestFit="1" customWidth="1"/>
    <col min="11" max="11" width="10.28515625" style="2" customWidth="1"/>
    <col min="12" max="12" width="9.5703125" style="2" bestFit="1" customWidth="1"/>
    <col min="13" max="13" width="8.85546875" style="2" customWidth="1"/>
    <col min="14" max="14" width="6.42578125" style="2" customWidth="1"/>
    <col min="15" max="15" width="8.7109375" style="2" customWidth="1"/>
    <col min="16" max="16" width="9.140625" style="2"/>
    <col min="17" max="17" width="8.140625" style="2" bestFit="1" customWidth="1"/>
    <col min="18" max="18" width="7.5703125" style="2" bestFit="1" customWidth="1"/>
    <col min="19" max="19" width="10.42578125" style="2" customWidth="1"/>
    <col min="20" max="16384" width="9.140625" style="2"/>
  </cols>
  <sheetData>
    <row r="1" spans="1:20" x14ac:dyDescent="0.25">
      <c r="A1" s="1" t="s">
        <v>0</v>
      </c>
      <c r="B1" s="2" t="s">
        <v>1</v>
      </c>
      <c r="C1" s="1" t="s">
        <v>5</v>
      </c>
      <c r="D1" s="1" t="s">
        <v>20</v>
      </c>
      <c r="E1" s="1" t="s">
        <v>6</v>
      </c>
      <c r="F1" s="1" t="s">
        <v>7</v>
      </c>
      <c r="J1" s="2" t="s">
        <v>8</v>
      </c>
      <c r="K1" s="3">
        <f>SQRT(AVERAGE(F:F))</f>
        <v>143.34729924679922</v>
      </c>
      <c r="L1" s="2" t="s">
        <v>3</v>
      </c>
      <c r="M1" s="2">
        <v>330</v>
      </c>
      <c r="N1" s="2" t="s">
        <v>4</v>
      </c>
      <c r="O1" s="2">
        <v>2</v>
      </c>
      <c r="Q1" s="2" t="s">
        <v>14</v>
      </c>
      <c r="R1" s="2" t="s">
        <v>16</v>
      </c>
      <c r="S1" s="2" t="s">
        <v>15</v>
      </c>
    </row>
    <row r="2" spans="1:20" x14ac:dyDescent="0.25">
      <c r="A2" s="7">
        <v>17986</v>
      </c>
      <c r="C2" s="1">
        <f>(teraterm[[#This Row],[Value(V)]]+$K$2)*$S$2</f>
        <v>-273.5595703125</v>
      </c>
      <c r="D2" s="1">
        <f>(teraterm[[#This Row],[Column2]]-Q$4)*$S$3*1000</f>
        <v>0</v>
      </c>
      <c r="E2" s="1">
        <f>IF(ABS(VALUE(teraterm[[#This Row],[Column1]]))&lt;4096,VALUE(teraterm[[#This Row],[Column1]]),0)</f>
        <v>0</v>
      </c>
      <c r="F2" s="1">
        <f>teraterm[[#This Row],[V(V)]]^2</f>
        <v>74834.838509559631</v>
      </c>
      <c r="J2" s="2" t="s">
        <v>2</v>
      </c>
      <c r="K2" s="2">
        <v>-3000</v>
      </c>
      <c r="L2" s="2" t="s">
        <v>11</v>
      </c>
      <c r="M2" s="1">
        <f>MIN(E:E)</f>
        <v>0</v>
      </c>
      <c r="N2" s="2" t="s">
        <v>12</v>
      </c>
      <c r="O2" s="2">
        <f>MAX(E:E)</f>
        <v>4046</v>
      </c>
      <c r="P2" s="2" t="s">
        <v>17</v>
      </c>
      <c r="Q2" s="4">
        <f>5/4096</f>
        <v>1.220703125E-3</v>
      </c>
      <c r="R2" s="4">
        <f>(M1+O1)/O1</f>
        <v>166</v>
      </c>
      <c r="S2" s="4">
        <f>R2*Q2*K4</f>
        <v>9.11865234375E-2</v>
      </c>
      <c r="T2" s="4"/>
    </row>
    <row r="3" spans="1:20" x14ac:dyDescent="0.25">
      <c r="A3" s="7">
        <v>3170</v>
      </c>
      <c r="B3" s="2">
        <v>-11800</v>
      </c>
      <c r="C3" s="1">
        <f>(teraterm[[#This Row],[Value(V)]]+$K$2)*$S$2</f>
        <v>15.501708984375</v>
      </c>
      <c r="D3" s="1">
        <f>(teraterm[[#This Row],[Column2]]-Q$4)*$S$3*1000</f>
        <v>-4801.4322916666661</v>
      </c>
      <c r="E3" s="1">
        <f>IF(ABS(VALUE(teraterm[[#This Row],[Column1]]))&lt;4096,VALUE(teraterm[[#This Row],[Column1]]),0)</f>
        <v>3170</v>
      </c>
      <c r="F3" s="1">
        <f>teraterm[[#This Row],[V(V)]]^2</f>
        <v>240.30298143625259</v>
      </c>
      <c r="J3" s="2" t="s">
        <v>9</v>
      </c>
      <c r="K3" s="2">
        <v>232.9</v>
      </c>
      <c r="L3" s="2" t="s">
        <v>11</v>
      </c>
      <c r="M3" s="1">
        <f>MIN(C:C)</f>
        <v>-273.5595703125</v>
      </c>
      <c r="N3" s="2" t="s">
        <v>12</v>
      </c>
      <c r="O3" s="1">
        <f>MAX(C:C)</f>
        <v>95.381103515625</v>
      </c>
      <c r="P3" s="2" t="s">
        <v>18</v>
      </c>
      <c r="Q3" s="4">
        <f>2.5/4096</f>
        <v>6.103515625E-4</v>
      </c>
      <c r="R3" s="4">
        <f>1/(50*0.03)</f>
        <v>0.66666666666666663</v>
      </c>
      <c r="S3" s="6">
        <f>R3*Q3</f>
        <v>4.0690104166666663E-4</v>
      </c>
    </row>
    <row r="4" spans="1:20" x14ac:dyDescent="0.25">
      <c r="A4" s="7">
        <v>2932</v>
      </c>
      <c r="B4" s="2">
        <v>-7932</v>
      </c>
      <c r="C4" s="1">
        <f>(teraterm[[#This Row],[Value(V)]]+$K$2)*$S$2</f>
        <v>-6.20068359375</v>
      </c>
      <c r="D4" s="1">
        <f>(teraterm[[#This Row],[Column2]]-Q$4)*$S$3*1000</f>
        <v>-3227.5390624999995</v>
      </c>
      <c r="E4" s="1">
        <f>IF(ABS(VALUE(teraterm[[#This Row],[Column1]]))&lt;4096,VALUE(teraterm[[#This Row],[Column1]]),0)</f>
        <v>2932</v>
      </c>
      <c r="F4" s="1">
        <f>teraterm[[#This Row],[V(V)]]^2</f>
        <v>38.448477029800415</v>
      </c>
      <c r="J4" s="2" t="s">
        <v>13</v>
      </c>
      <c r="K4" s="4">
        <v>0.45</v>
      </c>
      <c r="L4" s="2" t="s">
        <v>10</v>
      </c>
      <c r="M4" s="5">
        <f>K3/K1 -1</f>
        <v>0.62472541320097719</v>
      </c>
      <c r="N4" s="2" t="s">
        <v>2</v>
      </c>
      <c r="O4" s="1">
        <f>(O3+M3)/2</f>
        <v>-89.0892333984375</v>
      </c>
      <c r="P4" s="2" t="s">
        <v>19</v>
      </c>
      <c r="Q4" s="1">
        <v>0</v>
      </c>
      <c r="R4" s="1">
        <f>AVERAGE(B:B)</f>
        <v>2720.0804597701149</v>
      </c>
    </row>
    <row r="5" spans="1:20" x14ac:dyDescent="0.25">
      <c r="A5" s="7">
        <v>2688</v>
      </c>
      <c r="B5" s="2">
        <v>-5354</v>
      </c>
      <c r="C5" s="1">
        <f>(teraterm[[#This Row],[Value(V)]]+$K$2)*$S$2</f>
        <v>-28.4501953125</v>
      </c>
      <c r="D5" s="1">
        <f>(teraterm[[#This Row],[Column2]]-Q$4)*$S$3*1000</f>
        <v>-2178.548177083333</v>
      </c>
      <c r="E5" s="1">
        <f>IF(ABS(VALUE(teraterm[[#This Row],[Column1]]))&lt;4096,VALUE(teraterm[[#This Row],[Column1]]),0)</f>
        <v>2688</v>
      </c>
      <c r="F5" s="1">
        <f>teraterm[[#This Row],[V(V)]]^2</f>
        <v>809.41361331939697</v>
      </c>
    </row>
    <row r="6" spans="1:20" x14ac:dyDescent="0.25">
      <c r="A6" s="7">
        <v>2421</v>
      </c>
      <c r="B6" s="2">
        <v>-8395</v>
      </c>
      <c r="C6" s="1">
        <f>(teraterm[[#This Row],[Value(V)]]+$K$2)*$S$2</f>
        <v>-52.7969970703125</v>
      </c>
      <c r="D6" s="1">
        <f>(teraterm[[#This Row],[Column2]]-Q$4)*$S$3*1000</f>
        <v>-3415.9342447916665</v>
      </c>
      <c r="E6" s="1">
        <f>IF(ABS(VALUE(teraterm[[#This Row],[Column1]]))&lt;4096,VALUE(teraterm[[#This Row],[Column1]]),0)</f>
        <v>2421</v>
      </c>
      <c r="F6" s="1">
        <f>teraterm[[#This Row],[V(V)]]^2</f>
        <v>2787.5228996425867</v>
      </c>
    </row>
    <row r="7" spans="1:20" x14ac:dyDescent="0.25">
      <c r="A7" s="7">
        <v>2136</v>
      </c>
      <c r="B7" s="2">
        <v>-15758</v>
      </c>
      <c r="C7" s="1">
        <f>(teraterm[[#This Row],[Value(V)]]+$K$2)*$S$2</f>
        <v>-78.78515625</v>
      </c>
      <c r="D7" s="1">
        <f>(teraterm[[#This Row],[Column2]]-Q$4)*$S$3*1000</f>
        <v>-6411.946614583333</v>
      </c>
      <c r="E7" s="1">
        <f>IF(ABS(VALUE(teraterm[[#This Row],[Column1]]))&lt;4096,VALUE(teraterm[[#This Row],[Column1]]),0)</f>
        <v>2136</v>
      </c>
      <c r="F7" s="1">
        <f>teraterm[[#This Row],[V(V)]]^2</f>
        <v>6207.1008453369141</v>
      </c>
    </row>
    <row r="8" spans="1:20" x14ac:dyDescent="0.25">
      <c r="A8" s="7">
        <v>1862</v>
      </c>
      <c r="B8" s="2">
        <v>-20031</v>
      </c>
      <c r="C8" s="1">
        <f>(teraterm[[#This Row],[Value(V)]]+$K$2)*$S$2</f>
        <v>-103.770263671875</v>
      </c>
      <c r="D8" s="1">
        <f>(teraterm[[#This Row],[Column2]]-Q$4)*$S$3*1000</f>
        <v>-8150.634765625</v>
      </c>
      <c r="E8" s="1">
        <f>IF(ABS(VALUE(teraterm[[#This Row],[Column1]]))&lt;4096,VALUE(teraterm[[#This Row],[Column1]]),0)</f>
        <v>1862</v>
      </c>
      <c r="F8" s="1">
        <f>teraterm[[#This Row],[V(V)]]^2</f>
        <v>10768.26762253046</v>
      </c>
    </row>
    <row r="9" spans="1:20" x14ac:dyDescent="0.25">
      <c r="A9" s="7">
        <v>1609</v>
      </c>
      <c r="B9" s="2">
        <v>-18676</v>
      </c>
      <c r="C9" s="1">
        <f>(teraterm[[#This Row],[Value(V)]]+$K$2)*$S$2</f>
        <v>-126.8404541015625</v>
      </c>
      <c r="D9" s="1">
        <f>(teraterm[[#This Row],[Column2]]-Q$4)*$S$3*1000</f>
        <v>-7599.2838541666661</v>
      </c>
      <c r="E9" s="1">
        <f>IF(ABS(VALUE(teraterm[[#This Row],[Column1]]))&lt;4096,VALUE(teraterm[[#This Row],[Column1]]),0)</f>
        <v>1609</v>
      </c>
      <c r="F9" s="1">
        <f>teraterm[[#This Row],[V(V)]]^2</f>
        <v>16088.500796690583</v>
      </c>
    </row>
    <row r="10" spans="1:20" x14ac:dyDescent="0.25">
      <c r="A10" s="7">
        <v>1351</v>
      </c>
      <c r="B10" s="2">
        <v>-18346</v>
      </c>
      <c r="C10" s="1">
        <f>(teraterm[[#This Row],[Value(V)]]+$K$2)*$S$2</f>
        <v>-150.3665771484375</v>
      </c>
      <c r="D10" s="1">
        <f>(teraterm[[#This Row],[Column2]]-Q$4)*$S$3*1000</f>
        <v>-7465.0065104166661</v>
      </c>
      <c r="E10" s="1">
        <f>IF(ABS(VALUE(teraterm[[#This Row],[Column1]]))&lt;4096,VALUE(teraterm[[#This Row],[Column1]]),0)</f>
        <v>1351</v>
      </c>
      <c r="F10" s="1">
        <f>teraterm[[#This Row],[V(V)]]^2</f>
        <v>22610.107523337007</v>
      </c>
    </row>
    <row r="11" spans="1:20" x14ac:dyDescent="0.25">
      <c r="A11" s="7">
        <v>1109</v>
      </c>
      <c r="B11" s="2">
        <v>-13681</v>
      </c>
      <c r="C11" s="1">
        <f>(teraterm[[#This Row],[Value(V)]]+$K$2)*$S$2</f>
        <v>-172.4337158203125</v>
      </c>
      <c r="D11" s="1">
        <f>(teraterm[[#This Row],[Column2]]-Q$4)*$S$3*1000</f>
        <v>-5566.8131510416661</v>
      </c>
      <c r="E11" s="1">
        <f>IF(ABS(VALUE(teraterm[[#This Row],[Column1]]))&lt;4096,VALUE(teraterm[[#This Row],[Column1]]),0)</f>
        <v>1109</v>
      </c>
      <c r="F11" s="1">
        <f>teraterm[[#This Row],[V(V)]]^2</f>
        <v>29733.386351600289</v>
      </c>
    </row>
    <row r="12" spans="1:20" x14ac:dyDescent="0.25">
      <c r="A12" s="7">
        <v>884</v>
      </c>
      <c r="B12" s="2">
        <v>-4443</v>
      </c>
      <c r="C12" s="1">
        <f>(teraterm[[#This Row],[Value(V)]]+$K$2)*$S$2</f>
        <v>-192.95068359375</v>
      </c>
      <c r="D12" s="1">
        <f>(teraterm[[#This Row],[Column2]]-Q$4)*$S$3*1000</f>
        <v>-1807.8613281249998</v>
      </c>
      <c r="E12" s="1">
        <f>IF(ABS(VALUE(teraterm[[#This Row],[Column1]]))&lt;4096,VALUE(teraterm[[#This Row],[Column1]]),0)</f>
        <v>884</v>
      </c>
      <c r="F12" s="1">
        <f>teraterm[[#This Row],[V(V)]]^2</f>
        <v>37229.966299295425</v>
      </c>
    </row>
    <row r="13" spans="1:20" x14ac:dyDescent="0.25">
      <c r="A13" s="7">
        <v>666</v>
      </c>
      <c r="B13" s="2">
        <v>6800</v>
      </c>
      <c r="C13" s="1">
        <f>(teraterm[[#This Row],[Value(V)]]+$K$2)*$S$2</f>
        <v>-212.829345703125</v>
      </c>
      <c r="D13" s="1">
        <f>(teraterm[[#This Row],[Column2]]-Q$4)*$S$3*1000</f>
        <v>2766.927083333333</v>
      </c>
      <c r="E13" s="1">
        <f>IF(ABS(VALUE(teraterm[[#This Row],[Column1]]))&lt;4096,VALUE(teraterm[[#This Row],[Column1]]),0)</f>
        <v>666</v>
      </c>
      <c r="F13" s="1">
        <f>teraterm[[#This Row],[V(V)]]^2</f>
        <v>45296.330392420292</v>
      </c>
    </row>
    <row r="14" spans="1:20" x14ac:dyDescent="0.25">
      <c r="A14" s="7">
        <v>491</v>
      </c>
      <c r="B14" s="2">
        <v>29220</v>
      </c>
      <c r="C14" s="1">
        <f>(teraterm[[#This Row],[Value(V)]]+$K$2)*$S$2</f>
        <v>-228.7869873046875</v>
      </c>
      <c r="D14" s="1">
        <f>(teraterm[[#This Row],[Column2]]-Q$4)*$S$3*1000</f>
        <v>11889.648437499998</v>
      </c>
      <c r="E14" s="1">
        <f>IF(ABS(VALUE(teraterm[[#This Row],[Column1]]))&lt;4096,VALUE(teraterm[[#This Row],[Column1]]),0)</f>
        <v>491</v>
      </c>
      <c r="F14" s="1">
        <f>teraterm[[#This Row],[V(V)]]^2</f>
        <v>52343.485559955239</v>
      </c>
    </row>
    <row r="15" spans="1:20" x14ac:dyDescent="0.25">
      <c r="A15" s="7">
        <v>349</v>
      </c>
      <c r="B15" s="2">
        <v>-5313</v>
      </c>
      <c r="C15" s="1">
        <f>(teraterm[[#This Row],[Value(V)]]+$K$2)*$S$2</f>
        <v>-241.7354736328125</v>
      </c>
      <c r="D15" s="1">
        <f>(teraterm[[#This Row],[Column2]]-Q$4)*$S$3*1000</f>
        <v>-2161.865234375</v>
      </c>
      <c r="E15" s="1">
        <f>IF(ABS(VALUE(teraterm[[#This Row],[Column1]]))&lt;4096,VALUE(teraterm[[#This Row],[Column1]]),0)</f>
        <v>349</v>
      </c>
      <c r="F15" s="1">
        <f>teraterm[[#This Row],[V(V)]]^2</f>
        <v>58436.039212480187</v>
      </c>
    </row>
    <row r="16" spans="1:20" x14ac:dyDescent="0.25">
      <c r="A16" s="7">
        <v>253</v>
      </c>
      <c r="B16" s="2">
        <v>-27981</v>
      </c>
      <c r="C16" s="1">
        <f>(teraterm[[#This Row],[Value(V)]]+$K$2)*$S$2</f>
        <v>-250.4893798828125</v>
      </c>
      <c r="D16" s="1">
        <f>(teraterm[[#This Row],[Column2]]-Q$4)*$S$3*1000</f>
        <v>-11385.498046874998</v>
      </c>
      <c r="E16" s="1">
        <f>IF(ABS(VALUE(teraterm[[#This Row],[Column1]]))&lt;4096,VALUE(teraterm[[#This Row],[Column1]]),0)</f>
        <v>253</v>
      </c>
      <c r="F16" s="1">
        <f>teraterm[[#This Row],[V(V)]]^2</f>
        <v>62744.929434075952</v>
      </c>
    </row>
    <row r="17" spans="1:6" x14ac:dyDescent="0.25">
      <c r="A17" s="7">
        <v>225</v>
      </c>
      <c r="B17" s="2">
        <v>32316</v>
      </c>
      <c r="C17" s="1">
        <f>(teraterm[[#This Row],[Value(V)]]+$K$2)*$S$2</f>
        <v>-253.0426025390625</v>
      </c>
      <c r="D17" s="1">
        <f>(teraterm[[#This Row],[Column2]]-Q$4)*$S$3*1000</f>
        <v>13149.414062499998</v>
      </c>
      <c r="E17" s="1">
        <f>IF(ABS(VALUE(teraterm[[#This Row],[Column1]]))&lt;4096,VALUE(teraterm[[#This Row],[Column1]]),0)</f>
        <v>225</v>
      </c>
      <c r="F17" s="1">
        <f>teraterm[[#This Row],[V(V)]]^2</f>
        <v>64030.55869974196</v>
      </c>
    </row>
    <row r="18" spans="1:6" x14ac:dyDescent="0.25">
      <c r="A18" s="7">
        <v>214</v>
      </c>
      <c r="B18" s="2">
        <v>31432</v>
      </c>
      <c r="C18" s="1">
        <f>(teraterm[[#This Row],[Value(V)]]+$K$2)*$S$2</f>
        <v>-254.045654296875</v>
      </c>
      <c r="D18" s="1">
        <f>(teraterm[[#This Row],[Column2]]-Q$4)*$S$3*1000</f>
        <v>12789.713541666666</v>
      </c>
      <c r="E18" s="1">
        <f>IF(ABS(VALUE(teraterm[[#This Row],[Column1]]))&lt;4096,VALUE(teraterm[[#This Row],[Column1]]),0)</f>
        <v>214</v>
      </c>
      <c r="F18" s="1">
        <f>teraterm[[#This Row],[V(V)]]^2</f>
        <v>64539.194467127323</v>
      </c>
    </row>
    <row r="19" spans="1:6" x14ac:dyDescent="0.25">
      <c r="A19" s="7">
        <v>209</v>
      </c>
      <c r="B19" s="2">
        <v>32082</v>
      </c>
      <c r="C19" s="1">
        <f>(teraterm[[#This Row],[Value(V)]]+$K$2)*$S$2</f>
        <v>-254.5015869140625</v>
      </c>
      <c r="D19" s="1">
        <f>(teraterm[[#This Row],[Column2]]-Q$4)*$S$3*1000</f>
        <v>13054.199218749998</v>
      </c>
      <c r="E19" s="1">
        <f>IF(ABS(VALUE(teraterm[[#This Row],[Column1]]))&lt;4096,VALUE(teraterm[[#This Row],[Column1]]),0)</f>
        <v>209</v>
      </c>
      <c r="F19" s="1">
        <f>teraterm[[#This Row],[V(V)]]^2</f>
        <v>64771.057741776109</v>
      </c>
    </row>
    <row r="20" spans="1:6" x14ac:dyDescent="0.25">
      <c r="A20" s="7">
        <v>220</v>
      </c>
      <c r="B20" s="2">
        <v>-28727</v>
      </c>
      <c r="C20" s="1">
        <f>(teraterm[[#This Row],[Value(V)]]+$K$2)*$S$2</f>
        <v>-253.49853515625</v>
      </c>
      <c r="D20" s="1">
        <f>(teraterm[[#This Row],[Column2]]-Q$4)*$S$3*1000</f>
        <v>-11689.046223958332</v>
      </c>
      <c r="E20" s="1">
        <f>IF(ABS(VALUE(teraterm[[#This Row],[Column1]]))&lt;4096,VALUE(teraterm[[#This Row],[Column1]]),0)</f>
        <v>220</v>
      </c>
      <c r="F20" s="1">
        <f>teraterm[[#This Row],[V(V)]]^2</f>
        <v>64261.507326364517</v>
      </c>
    </row>
    <row r="21" spans="1:6" x14ac:dyDescent="0.25">
      <c r="A21" s="7">
        <v>279</v>
      </c>
      <c r="B21" s="2">
        <v>-11778</v>
      </c>
      <c r="C21" s="1">
        <f>(teraterm[[#This Row],[Value(V)]]+$K$2)*$S$2</f>
        <v>-248.1185302734375</v>
      </c>
      <c r="D21" s="1">
        <f>(teraterm[[#This Row],[Column2]]-Q$4)*$S$3*1000</f>
        <v>-4792.48046875</v>
      </c>
      <c r="E21" s="1">
        <f>IF(ABS(VALUE(teraterm[[#This Row],[Column1]]))&lt;4096,VALUE(teraterm[[#This Row],[Column1]]),0)</f>
        <v>279</v>
      </c>
      <c r="F21" s="1">
        <f>teraterm[[#This Row],[V(V)]]^2</f>
        <v>61562.805065050721</v>
      </c>
    </row>
    <row r="22" spans="1:6" x14ac:dyDescent="0.25">
      <c r="A22" s="7">
        <v>428</v>
      </c>
      <c r="B22" s="2">
        <v>28055</v>
      </c>
      <c r="C22" s="1">
        <f>(teraterm[[#This Row],[Value(V)]]+$K$2)*$S$2</f>
        <v>-234.53173828125</v>
      </c>
      <c r="D22" s="1">
        <f>(teraterm[[#This Row],[Column2]]-Q$4)*$S$3*1000</f>
        <v>11415.608723958332</v>
      </c>
      <c r="E22" s="1">
        <f>IF(ABS(VALUE(teraterm[[#This Row],[Column1]]))&lt;4096,VALUE(teraterm[[#This Row],[Column1]]),0)</f>
        <v>428</v>
      </c>
      <c r="F22" s="1">
        <f>teraterm[[#This Row],[V(V)]]^2</f>
        <v>55005.136261224747</v>
      </c>
    </row>
    <row r="23" spans="1:6" x14ac:dyDescent="0.25">
      <c r="A23" s="7">
        <v>630</v>
      </c>
      <c r="B23" s="2">
        <v>15711</v>
      </c>
      <c r="C23" s="1">
        <f>(teraterm[[#This Row],[Value(V)]]+$K$2)*$S$2</f>
        <v>-216.112060546875</v>
      </c>
      <c r="D23" s="1">
        <f>(teraterm[[#This Row],[Column2]]-Q$4)*$S$3*1000</f>
        <v>6392.8222656249991</v>
      </c>
      <c r="E23" s="1">
        <f>IF(ABS(VALUE(teraterm[[#This Row],[Column1]]))&lt;4096,VALUE(teraterm[[#This Row],[Column1]]),0)</f>
        <v>630</v>
      </c>
      <c r="F23" s="1">
        <f>teraterm[[#This Row],[V(V)]]^2</f>
        <v>46704.422713816166</v>
      </c>
    </row>
    <row r="24" spans="1:6" x14ac:dyDescent="0.25">
      <c r="A24" s="7">
        <v>835</v>
      </c>
      <c r="B24" s="2">
        <v>3924</v>
      </c>
      <c r="C24" s="1">
        <f>(teraterm[[#This Row],[Value(V)]]+$K$2)*$S$2</f>
        <v>-197.4188232421875</v>
      </c>
      <c r="D24" s="1">
        <f>(teraterm[[#This Row],[Column2]]-Q$4)*$S$3*1000</f>
        <v>1596.6796874999998</v>
      </c>
      <c r="E24" s="1">
        <f>IF(ABS(VALUE(teraterm[[#This Row],[Column1]]))&lt;4096,VALUE(teraterm[[#This Row],[Column1]]),0)</f>
        <v>835</v>
      </c>
      <c r="F24" s="1">
        <f>teraterm[[#This Row],[V(V)]]^2</f>
        <v>38974.191770330071</v>
      </c>
    </row>
    <row r="25" spans="1:6" x14ac:dyDescent="0.25">
      <c r="A25" s="7">
        <v>1062</v>
      </c>
      <c r="B25" s="2">
        <v>-2463</v>
      </c>
      <c r="C25" s="1">
        <f>(teraterm[[#This Row],[Value(V)]]+$K$2)*$S$2</f>
        <v>-176.719482421875</v>
      </c>
      <c r="D25" s="1">
        <f>(teraterm[[#This Row],[Column2]]-Q$4)*$S$3*1000</f>
        <v>-1002.197265625</v>
      </c>
      <c r="E25" s="1">
        <f>IF(ABS(VALUE(teraterm[[#This Row],[Column1]]))&lt;4096,VALUE(teraterm[[#This Row],[Column1]]),0)</f>
        <v>1062</v>
      </c>
      <c r="F25" s="1">
        <f>teraterm[[#This Row],[V(V)]]^2</f>
        <v>31229.775467455387</v>
      </c>
    </row>
    <row r="26" spans="1:6" x14ac:dyDescent="0.25">
      <c r="A26" s="7">
        <v>1310</v>
      </c>
      <c r="B26" s="2">
        <v>-3726</v>
      </c>
      <c r="C26" s="1">
        <f>(teraterm[[#This Row],[Value(V)]]+$K$2)*$S$2</f>
        <v>-154.105224609375</v>
      </c>
      <c r="D26" s="1">
        <f>(teraterm[[#This Row],[Column2]]-Q$4)*$S$3*1000</f>
        <v>-1516.1132812499998</v>
      </c>
      <c r="E26" s="1">
        <f>IF(ABS(VALUE(teraterm[[#This Row],[Column1]]))&lt;4096,VALUE(teraterm[[#This Row],[Column1]]),0)</f>
        <v>1310</v>
      </c>
      <c r="F26" s="1">
        <f>teraterm[[#This Row],[V(V)]]^2</f>
        <v>23748.420251905918</v>
      </c>
    </row>
    <row r="27" spans="1:6" x14ac:dyDescent="0.25">
      <c r="A27" s="7">
        <v>1554</v>
      </c>
      <c r="B27" s="2">
        <v>-6260</v>
      </c>
      <c r="C27" s="1">
        <f>(teraterm[[#This Row],[Value(V)]]+$K$2)*$S$2</f>
        <v>-131.855712890625</v>
      </c>
      <c r="D27" s="1">
        <f>(teraterm[[#This Row],[Column2]]-Q$4)*$S$3*1000</f>
        <v>-2547.200520833333</v>
      </c>
      <c r="E27" s="1">
        <f>IF(ABS(VALUE(teraterm[[#This Row],[Column1]]))&lt;4096,VALUE(teraterm[[#This Row],[Column1]]),0)</f>
        <v>1554</v>
      </c>
      <c r="F27" s="1">
        <f>teraterm[[#This Row],[V(V)]]^2</f>
        <v>17385.929021894932</v>
      </c>
    </row>
    <row r="28" spans="1:6" x14ac:dyDescent="0.25">
      <c r="A28" s="7">
        <v>1817</v>
      </c>
      <c r="B28" s="2">
        <v>-4195</v>
      </c>
      <c r="C28" s="1">
        <f>(teraterm[[#This Row],[Value(V)]]+$K$2)*$S$2</f>
        <v>-107.8736572265625</v>
      </c>
      <c r="D28" s="1">
        <f>(teraterm[[#This Row],[Column2]]-Q$4)*$S$3*1000</f>
        <v>-1706.9498697916665</v>
      </c>
      <c r="E28" s="1">
        <f>IF(ABS(VALUE(teraterm[[#This Row],[Column1]]))&lt;4096,VALUE(teraterm[[#This Row],[Column1]]),0)</f>
        <v>1817</v>
      </c>
      <c r="F28" s="1">
        <f>teraterm[[#This Row],[V(V)]]^2</f>
        <v>11636.7259234339</v>
      </c>
    </row>
    <row r="29" spans="1:6" x14ac:dyDescent="0.25">
      <c r="A29" s="7">
        <v>2097</v>
      </c>
      <c r="B29" s="2">
        <v>1941</v>
      </c>
      <c r="C29" s="1">
        <f>(teraterm[[#This Row],[Value(V)]]+$K$2)*$S$2</f>
        <v>-82.3414306640625</v>
      </c>
      <c r="D29" s="1">
        <f>(teraterm[[#This Row],[Column2]]-Q$4)*$S$3*1000</f>
        <v>789.79492187499989</v>
      </c>
      <c r="E29" s="1">
        <f>IF(ABS(VALUE(teraterm[[#This Row],[Column1]]))&lt;4096,VALUE(teraterm[[#This Row],[Column1]]),0)</f>
        <v>2097</v>
      </c>
      <c r="F29" s="1">
        <f>teraterm[[#This Row],[V(V)]]^2</f>
        <v>6780.1112038046122</v>
      </c>
    </row>
    <row r="30" spans="1:6" x14ac:dyDescent="0.25">
      <c r="A30" s="7">
        <v>2373</v>
      </c>
      <c r="B30" s="2">
        <v>6777</v>
      </c>
      <c r="C30" s="1">
        <f>(teraterm[[#This Row],[Value(V)]]+$K$2)*$S$2</f>
        <v>-57.1739501953125</v>
      </c>
      <c r="D30" s="1">
        <f>(teraterm[[#This Row],[Column2]]-Q$4)*$S$3*1000</f>
        <v>2757.5683593749995</v>
      </c>
      <c r="E30" s="1">
        <f>IF(ABS(VALUE(teraterm[[#This Row],[Column1]]))&lt;4096,VALUE(teraterm[[#This Row],[Column1]]),0)</f>
        <v>2373</v>
      </c>
      <c r="F30" s="1">
        <f>teraterm[[#This Row],[V(V)]]^2</f>
        <v>3268.8605809360743</v>
      </c>
    </row>
    <row r="31" spans="1:6" x14ac:dyDescent="0.25">
      <c r="A31" s="7">
        <v>2619</v>
      </c>
      <c r="B31" s="2">
        <v>3688</v>
      </c>
      <c r="C31" s="1">
        <f>(teraterm[[#This Row],[Value(V)]]+$K$2)*$S$2</f>
        <v>-34.7420654296875</v>
      </c>
      <c r="D31" s="1">
        <f>(teraterm[[#This Row],[Column2]]-Q$4)*$S$3*1000</f>
        <v>1500.6510416666665</v>
      </c>
      <c r="E31" s="1">
        <f>IF(ABS(VALUE(teraterm[[#This Row],[Column1]]))&lt;4096,VALUE(teraterm[[#This Row],[Column1]]),0)</f>
        <v>2619</v>
      </c>
      <c r="F31" s="1">
        <f>teraterm[[#This Row],[V(V)]]^2</f>
        <v>1207.0111103206873</v>
      </c>
    </row>
    <row r="32" spans="1:6" x14ac:dyDescent="0.25">
      <c r="A32" s="7">
        <v>2868</v>
      </c>
      <c r="B32" s="2">
        <v>1120</v>
      </c>
      <c r="C32" s="1">
        <f>(teraterm[[#This Row],[Value(V)]]+$K$2)*$S$2</f>
        <v>-12.03662109375</v>
      </c>
      <c r="D32" s="1">
        <f>(teraterm[[#This Row],[Column2]]-Q$4)*$S$3*1000</f>
        <v>455.72916666666663</v>
      </c>
      <c r="E32" s="1">
        <f>IF(ABS(VALUE(teraterm[[#This Row],[Column1]]))&lt;4096,VALUE(teraterm[[#This Row],[Column1]]),0)</f>
        <v>2868</v>
      </c>
      <c r="F32" s="1">
        <f>teraterm[[#This Row],[V(V)]]^2</f>
        <v>144.88024735450745</v>
      </c>
    </row>
    <row r="33" spans="1:6" x14ac:dyDescent="0.25">
      <c r="A33" s="7">
        <v>3110</v>
      </c>
      <c r="B33" s="2">
        <v>-3479</v>
      </c>
      <c r="C33" s="1">
        <f>(teraterm[[#This Row],[Value(V)]]+$K$2)*$S$2</f>
        <v>10.030517578125</v>
      </c>
      <c r="D33" s="1">
        <f>(teraterm[[#This Row],[Column2]]-Q$4)*$S$3*1000</f>
        <v>-1415.6087239583333</v>
      </c>
      <c r="E33" s="1">
        <f>IF(ABS(VALUE(teraterm[[#This Row],[Column1]]))&lt;4096,VALUE(teraterm[[#This Row],[Column1]]),0)</f>
        <v>3110</v>
      </c>
      <c r="F33" s="1">
        <f>teraterm[[#This Row],[V(V)]]^2</f>
        <v>100.61128288507462</v>
      </c>
    </row>
    <row r="34" spans="1:6" x14ac:dyDescent="0.25">
      <c r="A34" s="7">
        <v>3326</v>
      </c>
      <c r="B34" s="2">
        <v>-14946</v>
      </c>
      <c r="C34" s="1">
        <f>(teraterm[[#This Row],[Value(V)]]+$K$2)*$S$2</f>
        <v>29.726806640625</v>
      </c>
      <c r="D34" s="1">
        <f>(teraterm[[#This Row],[Column2]]-Q$4)*$S$3*1000</f>
        <v>-6081.5429687499991</v>
      </c>
      <c r="E34" s="1">
        <f>IF(ABS(VALUE(teraterm[[#This Row],[Column1]]))&lt;4096,VALUE(teraterm[[#This Row],[Column1]]),0)</f>
        <v>3326</v>
      </c>
      <c r="F34" s="1">
        <f>teraterm[[#This Row],[V(V)]]^2</f>
        <v>883.6830330491066</v>
      </c>
    </row>
    <row r="35" spans="1:6" x14ac:dyDescent="0.25">
      <c r="A35" s="7">
        <v>3532</v>
      </c>
      <c r="B35" s="2">
        <v>-29174</v>
      </c>
      <c r="C35" s="1">
        <f>(teraterm[[#This Row],[Value(V)]]+$K$2)*$S$2</f>
        <v>48.51123046875</v>
      </c>
      <c r="D35" s="1">
        <f>(teraterm[[#This Row],[Column2]]-Q$4)*$S$3*1000</f>
        <v>-11870.930989583332</v>
      </c>
      <c r="E35" s="1">
        <f>IF(ABS(VALUE(teraterm[[#This Row],[Column1]]))&lt;4096,VALUE(teraterm[[#This Row],[Column1]]),0)</f>
        <v>3532</v>
      </c>
      <c r="F35" s="1">
        <f>teraterm[[#This Row],[V(V)]]^2</f>
        <v>2353.3394815921783</v>
      </c>
    </row>
    <row r="36" spans="1:6" x14ac:dyDescent="0.25">
      <c r="A36" s="7">
        <v>3712</v>
      </c>
      <c r="B36" s="2">
        <v>15303</v>
      </c>
      <c r="C36" s="1">
        <f>(teraterm[[#This Row],[Value(V)]]+$K$2)*$S$2</f>
        <v>64.9248046875</v>
      </c>
      <c r="D36" s="1">
        <f>(teraterm[[#This Row],[Column2]]-Q$4)*$S$3*1000</f>
        <v>6226.8066406249991</v>
      </c>
      <c r="E36" s="1">
        <f>IF(ABS(VALUE(teraterm[[#This Row],[Column1]]))&lt;4096,VALUE(teraterm[[#This Row],[Column1]]),0)</f>
        <v>3712</v>
      </c>
      <c r="F36" s="1">
        <f>teraterm[[#This Row],[V(V)]]^2</f>
        <v>4215.230263710022</v>
      </c>
    </row>
    <row r="37" spans="1:6" x14ac:dyDescent="0.25">
      <c r="A37" s="7">
        <v>3854</v>
      </c>
      <c r="B37" s="2">
        <v>-15619</v>
      </c>
      <c r="C37" s="1">
        <f>(teraterm[[#This Row],[Value(V)]]+$K$2)*$S$2</f>
        <v>77.873291015625</v>
      </c>
      <c r="D37" s="1">
        <f>(teraterm[[#This Row],[Column2]]-Q$4)*$S$3*1000</f>
        <v>-6355.3873697916661</v>
      </c>
      <c r="E37" s="1">
        <f>IF(ABS(VALUE(teraterm[[#This Row],[Column1]]))&lt;4096,VALUE(teraterm[[#This Row],[Column1]]),0)</f>
        <v>3854</v>
      </c>
      <c r="F37" s="1">
        <f>teraterm[[#This Row],[V(V)]]^2</f>
        <v>6064.2494536042213</v>
      </c>
    </row>
    <row r="38" spans="1:6" x14ac:dyDescent="0.25">
      <c r="A38" s="7">
        <v>3958</v>
      </c>
      <c r="B38" s="2">
        <v>9170</v>
      </c>
      <c r="C38" s="1">
        <f>(teraterm[[#This Row],[Value(V)]]+$K$2)*$S$2</f>
        <v>87.356689453125</v>
      </c>
      <c r="D38" s="1">
        <f>(teraterm[[#This Row],[Column2]]-Q$4)*$S$3*1000</f>
        <v>3731.282552083333</v>
      </c>
      <c r="E38" s="1">
        <f>IF(ABS(VALUE(teraterm[[#This Row],[Column1]]))&lt;4096,VALUE(teraterm[[#This Row],[Column1]]),0)</f>
        <v>3958</v>
      </c>
      <c r="F38" s="1">
        <f>teraterm[[#This Row],[V(V)]]^2</f>
        <v>7631.1911922097206</v>
      </c>
    </row>
    <row r="39" spans="1:6" x14ac:dyDescent="0.25">
      <c r="A39" s="7">
        <v>4003</v>
      </c>
      <c r="B39" s="2">
        <v>18817</v>
      </c>
      <c r="C39" s="1">
        <f>(teraterm[[#This Row],[Value(V)]]+$K$2)*$S$2</f>
        <v>91.4600830078125</v>
      </c>
      <c r="D39" s="1">
        <f>(teraterm[[#This Row],[Column2]]-Q$4)*$S$3*1000</f>
        <v>7656.6569010416661</v>
      </c>
      <c r="E39" s="1">
        <f>IF(ABS(VALUE(teraterm[[#This Row],[Column1]]))&lt;4096,VALUE(teraterm[[#This Row],[Column1]]),0)</f>
        <v>4003</v>
      </c>
      <c r="F39" s="1">
        <f>teraterm[[#This Row],[V(V)]]^2</f>
        <v>8364.9467837959528</v>
      </c>
    </row>
    <row r="40" spans="1:6" x14ac:dyDescent="0.25">
      <c r="A40" s="7">
        <v>4021</v>
      </c>
      <c r="B40" s="2">
        <v>21541</v>
      </c>
      <c r="C40" s="1">
        <f>(teraterm[[#This Row],[Value(V)]]+$K$2)*$S$2</f>
        <v>93.1014404296875</v>
      </c>
      <c r="D40" s="1">
        <f>(teraterm[[#This Row],[Column2]]-Q$4)*$S$3*1000</f>
        <v>8765.0553385416661</v>
      </c>
      <c r="E40" s="1">
        <f>IF(ABS(VALUE(teraterm[[#This Row],[Column1]]))&lt;4096,VALUE(teraterm[[#This Row],[Column1]]),0)</f>
        <v>4021</v>
      </c>
      <c r="F40" s="1">
        <f>teraterm[[#This Row],[V(V)]]^2</f>
        <v>8667.8782100826502</v>
      </c>
    </row>
    <row r="41" spans="1:6" x14ac:dyDescent="0.25">
      <c r="A41" s="7">
        <v>4032</v>
      </c>
      <c r="B41" s="2">
        <v>22469</v>
      </c>
      <c r="C41" s="1">
        <f>(teraterm[[#This Row],[Value(V)]]+$K$2)*$S$2</f>
        <v>94.1044921875</v>
      </c>
      <c r="D41" s="1">
        <f>(teraterm[[#This Row],[Column2]]-Q$4)*$S$3*1000</f>
        <v>9142.6595052083321</v>
      </c>
      <c r="E41" s="1">
        <f>IF(ABS(VALUE(teraterm[[#This Row],[Column1]]))&lt;4096,VALUE(teraterm[[#This Row],[Column1]]),0)</f>
        <v>4032</v>
      </c>
      <c r="F41" s="1">
        <f>teraterm[[#This Row],[V(V)]]^2</f>
        <v>8855.6554498672485</v>
      </c>
    </row>
    <row r="42" spans="1:6" x14ac:dyDescent="0.25">
      <c r="A42" s="7">
        <v>4035</v>
      </c>
      <c r="B42" s="2">
        <v>21354</v>
      </c>
      <c r="C42" s="1">
        <f>(teraterm[[#This Row],[Value(V)]]+$K$2)*$S$2</f>
        <v>94.3780517578125</v>
      </c>
      <c r="D42" s="1">
        <f>(teraterm[[#This Row],[Column2]]-Q$4)*$S$3*1000</f>
        <v>8688.96484375</v>
      </c>
      <c r="E42" s="1">
        <f>IF(ABS(VALUE(teraterm[[#This Row],[Column1]]))&lt;4096,VALUE(teraterm[[#This Row],[Column1]]),0)</f>
        <v>4035</v>
      </c>
      <c r="F42" s="1">
        <f>teraterm[[#This Row],[V(V)]]^2</f>
        <v>8907.2166536003351</v>
      </c>
    </row>
    <row r="43" spans="1:6" x14ac:dyDescent="0.25">
      <c r="A43" s="7">
        <v>4011</v>
      </c>
      <c r="B43" s="2">
        <v>13358</v>
      </c>
      <c r="C43" s="1">
        <f>(teraterm[[#This Row],[Value(V)]]+$K$2)*$S$2</f>
        <v>92.1895751953125</v>
      </c>
      <c r="D43" s="1">
        <f>(teraterm[[#This Row],[Column2]]-Q$4)*$S$3*1000</f>
        <v>5435.384114583333</v>
      </c>
      <c r="E43" s="1">
        <f>IF(ABS(VALUE(teraterm[[#This Row],[Column1]]))&lt;4096,VALUE(teraterm[[#This Row],[Column1]]),0)</f>
        <v>4011</v>
      </c>
      <c r="F43" s="1">
        <f>teraterm[[#This Row],[V(V)]]^2</f>
        <v>8498.9177746921778</v>
      </c>
    </row>
    <row r="44" spans="1:6" x14ac:dyDescent="0.25">
      <c r="A44" s="7">
        <v>3908</v>
      </c>
      <c r="B44" s="2">
        <v>-14752</v>
      </c>
      <c r="C44" s="1">
        <f>(teraterm[[#This Row],[Value(V)]]+$K$2)*$S$2</f>
        <v>82.79736328125</v>
      </c>
      <c r="D44" s="1">
        <f>(teraterm[[#This Row],[Column2]]-Q$4)*$S$3*1000</f>
        <v>-6002.6041666666661</v>
      </c>
      <c r="E44" s="1">
        <f>IF(ABS(VALUE(teraterm[[#This Row],[Column1]]))&lt;4096,VALUE(teraterm[[#This Row],[Column1]]),0)</f>
        <v>3908</v>
      </c>
      <c r="F44" s="1">
        <f>teraterm[[#This Row],[V(V)]]^2</f>
        <v>6855.4033663272858</v>
      </c>
    </row>
    <row r="45" spans="1:6" x14ac:dyDescent="0.25">
      <c r="A45" s="7">
        <v>3712</v>
      </c>
      <c r="B45" s="2">
        <v>-931</v>
      </c>
      <c r="C45" s="1">
        <f>(teraterm[[#This Row],[Value(V)]]+$K$2)*$S$2</f>
        <v>64.9248046875</v>
      </c>
      <c r="D45" s="1">
        <f>(teraterm[[#This Row],[Column2]]-Q$4)*$S$3*1000</f>
        <v>-378.82486979166663</v>
      </c>
      <c r="E45" s="1">
        <f>IF(ABS(VALUE(teraterm[[#This Row],[Column1]]))&lt;4096,VALUE(teraterm[[#This Row],[Column1]]),0)</f>
        <v>3712</v>
      </c>
      <c r="F45" s="1">
        <f>teraterm[[#This Row],[V(V)]]^2</f>
        <v>4215.230263710022</v>
      </c>
    </row>
    <row r="46" spans="1:6" x14ac:dyDescent="0.25">
      <c r="A46" s="7">
        <v>3523</v>
      </c>
      <c r="B46" s="2">
        <v>14877</v>
      </c>
      <c r="C46" s="1">
        <f>(teraterm[[#This Row],[Value(V)]]+$K$2)*$S$2</f>
        <v>47.6905517578125</v>
      </c>
      <c r="D46" s="1">
        <f>(teraterm[[#This Row],[Column2]]-Q$4)*$S$3*1000</f>
        <v>6053.4667968749991</v>
      </c>
      <c r="E46" s="1">
        <f>IF(ABS(VALUE(teraterm[[#This Row],[Column1]]))&lt;4096,VALUE(teraterm[[#This Row],[Column1]]),0)</f>
        <v>3523</v>
      </c>
      <c r="F46" s="1">
        <f>teraterm[[#This Row],[V(V)]]^2</f>
        <v>2274.3887269645929</v>
      </c>
    </row>
    <row r="47" spans="1:6" x14ac:dyDescent="0.25">
      <c r="A47" s="7">
        <v>3322</v>
      </c>
      <c r="B47" s="2">
        <v>27819</v>
      </c>
      <c r="C47" s="1">
        <f>(teraterm[[#This Row],[Value(V)]]+$K$2)*$S$2</f>
        <v>29.362060546875</v>
      </c>
      <c r="D47" s="1">
        <f>(teraterm[[#This Row],[Column2]]-Q$4)*$S$3*1000</f>
        <v>11319.580078124998</v>
      </c>
      <c r="E47" s="1">
        <f>IF(ABS(VALUE(teraterm[[#This Row],[Column1]]))&lt;4096,VALUE(teraterm[[#This Row],[Column1]]),0)</f>
        <v>3322</v>
      </c>
      <c r="F47" s="1">
        <f>teraterm[[#This Row],[V(V)]]^2</f>
        <v>862.13059955835342</v>
      </c>
    </row>
    <row r="48" spans="1:6" x14ac:dyDescent="0.25">
      <c r="A48" s="7">
        <v>3087</v>
      </c>
      <c r="B48" s="2">
        <v>32297</v>
      </c>
      <c r="C48" s="1">
        <f>(teraterm[[#This Row],[Value(V)]]+$K$2)*$S$2</f>
        <v>7.9332275390625</v>
      </c>
      <c r="D48" s="1">
        <f>(teraterm[[#This Row],[Column2]]-Q$4)*$S$3*1000</f>
        <v>13141.682942708332</v>
      </c>
      <c r="E48" s="1">
        <f>IF(ABS(VALUE(teraterm[[#This Row],[Column1]]))&lt;4096,VALUE(teraterm[[#This Row],[Column1]]),0)</f>
        <v>3087</v>
      </c>
      <c r="F48" s="1">
        <f>teraterm[[#This Row],[V(V)]]^2</f>
        <v>62.93609918653965</v>
      </c>
    </row>
    <row r="49" spans="1:6" x14ac:dyDescent="0.25">
      <c r="A49" s="7">
        <v>2848</v>
      </c>
      <c r="B49" s="2">
        <v>-29543</v>
      </c>
      <c r="C49" s="1">
        <f>(teraterm[[#This Row],[Value(V)]]+$K$2)*$S$2</f>
        <v>-13.8603515625</v>
      </c>
      <c r="D49" s="1">
        <f>(teraterm[[#This Row],[Column2]]-Q$4)*$S$3*1000</f>
        <v>-12021.077473958332</v>
      </c>
      <c r="E49" s="1">
        <f>IF(ABS(VALUE(teraterm[[#This Row],[Column1]]))&lt;4096,VALUE(teraterm[[#This Row],[Column1]]),0)</f>
        <v>2848</v>
      </c>
      <c r="F49" s="1">
        <f>teraterm[[#This Row],[V(V)]]^2</f>
        <v>192.10934543609619</v>
      </c>
    </row>
    <row r="50" spans="1:6" x14ac:dyDescent="0.25">
      <c r="A50" s="7">
        <v>2599</v>
      </c>
      <c r="B50" s="2">
        <v>-28155</v>
      </c>
      <c r="C50" s="1">
        <f>(teraterm[[#This Row],[Value(V)]]+$K$2)*$S$2</f>
        <v>-36.5657958984375</v>
      </c>
      <c r="D50" s="1">
        <f>(teraterm[[#This Row],[Column2]]-Q$4)*$S$3*1000</f>
        <v>-11456.298828124998</v>
      </c>
      <c r="E50" s="1">
        <f>IF(ABS(VALUE(teraterm[[#This Row],[Column1]]))&lt;4096,VALUE(teraterm[[#This Row],[Column1]]),0)</f>
        <v>2599</v>
      </c>
      <c r="F50" s="1">
        <f>teraterm[[#This Row],[V(V)]]^2</f>
        <v>1337.0574296861887</v>
      </c>
    </row>
    <row r="51" spans="1:6" x14ac:dyDescent="0.25">
      <c r="A51" s="7">
        <v>2319</v>
      </c>
      <c r="B51" s="2">
        <v>31114</v>
      </c>
      <c r="C51" s="1">
        <f>(teraterm[[#This Row],[Value(V)]]+$K$2)*$S$2</f>
        <v>-62.0980224609375</v>
      </c>
      <c r="D51" s="1">
        <f>(teraterm[[#This Row],[Column2]]-Q$4)*$S$3*1000</f>
        <v>12660.319010416666</v>
      </c>
      <c r="E51" s="1">
        <f>IF(ABS(VALUE(teraterm[[#This Row],[Column1]]))&lt;4096,VALUE(teraterm[[#This Row],[Column1]]),0)</f>
        <v>2319</v>
      </c>
      <c r="F51" s="1">
        <f>teraterm[[#This Row],[V(V)]]^2</f>
        <v>3856.1643935590982</v>
      </c>
    </row>
    <row r="52" spans="1:6" x14ac:dyDescent="0.25">
      <c r="A52" s="7">
        <v>2033</v>
      </c>
      <c r="B52" s="2">
        <v>23598</v>
      </c>
      <c r="C52" s="1">
        <f>(teraterm[[#This Row],[Value(V)]]+$K$2)*$S$2</f>
        <v>-88.1773681640625</v>
      </c>
      <c r="D52" s="1">
        <f>(teraterm[[#This Row],[Column2]]-Q$4)*$S$3*1000</f>
        <v>9602.05078125</v>
      </c>
      <c r="E52" s="1">
        <f>IF(ABS(VALUE(teraterm[[#This Row],[Column1]]))&lt;4096,VALUE(teraterm[[#This Row],[Column1]]),0)</f>
        <v>2033</v>
      </c>
      <c r="F52" s="1">
        <f>teraterm[[#This Row],[V(V)]]^2</f>
        <v>7775.2482563406229</v>
      </c>
    </row>
    <row r="53" spans="1:6" x14ac:dyDescent="0.25">
      <c r="A53" s="7">
        <v>1775</v>
      </c>
      <c r="B53" s="2">
        <v>23507</v>
      </c>
      <c r="C53" s="1">
        <f>(teraterm[[#This Row],[Value(V)]]+$K$2)*$S$2</f>
        <v>-111.7034912109375</v>
      </c>
      <c r="D53" s="1">
        <f>(teraterm[[#This Row],[Column2]]-Q$4)*$S$3*1000</f>
        <v>9565.0227864583321</v>
      </c>
      <c r="E53" s="1">
        <f>IF(ABS(VALUE(teraterm[[#This Row],[Column1]]))&lt;4096,VALUE(teraterm[[#This Row],[Column1]]),0)</f>
        <v>1775</v>
      </c>
      <c r="F53" s="1">
        <f>teraterm[[#This Row],[V(V)]]^2</f>
        <v>12477.669948711991</v>
      </c>
    </row>
    <row r="54" spans="1:6" x14ac:dyDescent="0.25">
      <c r="A54" s="7">
        <v>1520</v>
      </c>
      <c r="B54" s="2">
        <v>24438</v>
      </c>
      <c r="C54" s="1">
        <f>(teraterm[[#This Row],[Value(V)]]+$K$2)*$S$2</f>
        <v>-134.9560546875</v>
      </c>
      <c r="D54" s="1">
        <f>(teraterm[[#This Row],[Column2]]-Q$4)*$S$3*1000</f>
        <v>9943.84765625</v>
      </c>
      <c r="E54" s="1">
        <f>IF(ABS(VALUE(teraterm[[#This Row],[Column1]]))&lt;4096,VALUE(teraterm[[#This Row],[Column1]]),0)</f>
        <v>1520</v>
      </c>
      <c r="F54" s="1">
        <f>teraterm[[#This Row],[V(V)]]^2</f>
        <v>18213.136696815491</v>
      </c>
    </row>
    <row r="55" spans="1:6" x14ac:dyDescent="0.25">
      <c r="A55" s="7">
        <v>1263</v>
      </c>
      <c r="B55" s="2">
        <v>25111</v>
      </c>
      <c r="C55" s="1">
        <f>(teraterm[[#This Row],[Value(V)]]+$K$2)*$S$2</f>
        <v>-158.3909912109375</v>
      </c>
      <c r="D55" s="1">
        <f>(teraterm[[#This Row],[Column2]]-Q$4)*$S$3*1000</f>
        <v>10217.692057291666</v>
      </c>
      <c r="E55" s="1">
        <f>IF(ABS(VALUE(teraterm[[#This Row],[Column1]]))&lt;4096,VALUE(teraterm[[#This Row],[Column1]]),0)</f>
        <v>1263</v>
      </c>
      <c r="F55" s="1">
        <f>teraterm[[#This Row],[V(V)]]^2</f>
        <v>25087.70609678328</v>
      </c>
    </row>
    <row r="56" spans="1:6" x14ac:dyDescent="0.25">
      <c r="A56" s="7">
        <v>1029</v>
      </c>
      <c r="B56" s="2">
        <v>31902</v>
      </c>
      <c r="C56" s="1">
        <f>(teraterm[[#This Row],[Value(V)]]+$K$2)*$S$2</f>
        <v>-179.7286376953125</v>
      </c>
      <c r="D56" s="1">
        <f>(teraterm[[#This Row],[Column2]]-Q$4)*$S$3*1000</f>
        <v>12980.957031249998</v>
      </c>
      <c r="E56" s="1">
        <f>IF(ABS(VALUE(teraterm[[#This Row],[Column1]]))&lt;4096,VALUE(teraterm[[#This Row],[Column1]]),0)</f>
        <v>1029</v>
      </c>
      <c r="F56" s="1">
        <f>teraterm[[#This Row],[V(V)]]^2</f>
        <v>32302.383207812905</v>
      </c>
    </row>
    <row r="57" spans="1:6" x14ac:dyDescent="0.25">
      <c r="A57" s="7">
        <v>810</v>
      </c>
      <c r="B57" s="2">
        <v>-22788</v>
      </c>
      <c r="C57" s="1">
        <f>(teraterm[[#This Row],[Value(V)]]+$K$2)*$S$2</f>
        <v>-199.698486328125</v>
      </c>
      <c r="D57" s="1">
        <f>(teraterm[[#This Row],[Column2]]-Q$4)*$S$3*1000</f>
        <v>-9272.4609375</v>
      </c>
      <c r="E57" s="1">
        <f>IF(ABS(VALUE(teraterm[[#This Row],[Column1]]))&lt;4096,VALUE(teraterm[[#This Row],[Column1]]),0)</f>
        <v>810</v>
      </c>
      <c r="F57" s="1">
        <f>teraterm[[#This Row],[V(V)]]^2</f>
        <v>39879.485441744328</v>
      </c>
    </row>
    <row r="58" spans="1:6" x14ac:dyDescent="0.25">
      <c r="A58" s="7">
        <v>606</v>
      </c>
      <c r="B58" s="2">
        <v>-7903</v>
      </c>
      <c r="C58" s="1">
        <f>(teraterm[[#This Row],[Value(V)]]+$K$2)*$S$2</f>
        <v>-218.300537109375</v>
      </c>
      <c r="D58" s="1">
        <f>(teraterm[[#This Row],[Column2]]-Q$4)*$S$3*1000</f>
        <v>-3215.7389322916665</v>
      </c>
      <c r="E58" s="1">
        <f>IF(ABS(VALUE(teraterm[[#This Row],[Column1]]))&lt;4096,VALUE(teraterm[[#This Row],[Column1]]),0)</f>
        <v>606</v>
      </c>
      <c r="F58" s="1">
        <f>teraterm[[#This Row],[V(V)]]^2</f>
        <v>47655.124502241611</v>
      </c>
    </row>
    <row r="59" spans="1:6" x14ac:dyDescent="0.25">
      <c r="A59" s="7">
        <v>433</v>
      </c>
      <c r="B59" s="2">
        <v>15084</v>
      </c>
      <c r="C59" s="1">
        <f>(teraterm[[#This Row],[Value(V)]]+$K$2)*$S$2</f>
        <v>-234.0758056640625</v>
      </c>
      <c r="D59" s="1">
        <f>(teraterm[[#This Row],[Column2]]-Q$4)*$S$3*1000</f>
        <v>6137.6953124999991</v>
      </c>
      <c r="E59" s="1">
        <f>IF(ABS(VALUE(teraterm[[#This Row],[Column1]]))&lt;4096,VALUE(teraterm[[#This Row],[Column1]]),0)</f>
        <v>433</v>
      </c>
      <c r="F59" s="1">
        <f>teraterm[[#This Row],[V(V)]]^2</f>
        <v>54791.482797279954</v>
      </c>
    </row>
    <row r="60" spans="1:6" x14ac:dyDescent="0.25">
      <c r="A60" s="7">
        <v>308</v>
      </c>
      <c r="B60" s="2">
        <v>-15058</v>
      </c>
      <c r="C60" s="1">
        <f>(teraterm[[#This Row],[Value(V)]]+$K$2)*$S$2</f>
        <v>-245.47412109375</v>
      </c>
      <c r="D60" s="1">
        <f>(teraterm[[#This Row],[Column2]]-Q$4)*$S$3*1000</f>
        <v>-6127.1158854166661</v>
      </c>
      <c r="E60" s="1">
        <f>IF(ABS(VALUE(teraterm[[#This Row],[Column1]]))&lt;4096,VALUE(teraterm[[#This Row],[Column1]]),0)</f>
        <v>308</v>
      </c>
      <c r="F60" s="1">
        <f>teraterm[[#This Row],[V(V)]]^2</f>
        <v>60257.544126749039</v>
      </c>
    </row>
    <row r="61" spans="1:6" x14ac:dyDescent="0.25">
      <c r="A61" s="7">
        <v>241</v>
      </c>
      <c r="B61" s="2">
        <v>-30293</v>
      </c>
      <c r="C61" s="1">
        <f>(teraterm[[#This Row],[Value(V)]]+$K$2)*$S$2</f>
        <v>-251.5836181640625</v>
      </c>
      <c r="D61" s="1">
        <f>(teraterm[[#This Row],[Column2]]-Q$4)*$S$3*1000</f>
        <v>-12326.253255208332</v>
      </c>
      <c r="E61" s="1">
        <f>IF(ABS(VALUE(teraterm[[#This Row],[Column1]]))&lt;4096,VALUE(teraterm[[#This Row],[Column1]]),0)</f>
        <v>241</v>
      </c>
      <c r="F61" s="1">
        <f>teraterm[[#This Row],[V(V)]]^2</f>
        <v>63294.316928520799</v>
      </c>
    </row>
    <row r="62" spans="1:6" x14ac:dyDescent="0.25">
      <c r="A62" s="7">
        <v>220</v>
      </c>
      <c r="B62" s="2">
        <v>31798</v>
      </c>
      <c r="C62" s="1">
        <f>(teraterm[[#This Row],[Value(V)]]+$K$2)*$S$2</f>
        <v>-253.49853515625</v>
      </c>
      <c r="D62" s="1">
        <f>(teraterm[[#This Row],[Column2]]-Q$4)*$S$3*1000</f>
        <v>12938.639322916666</v>
      </c>
      <c r="E62" s="1">
        <f>IF(ABS(VALUE(teraterm[[#This Row],[Column1]]))&lt;4096,VALUE(teraterm[[#This Row],[Column1]]),0)</f>
        <v>220</v>
      </c>
      <c r="F62" s="1">
        <f>teraterm[[#This Row],[V(V)]]^2</f>
        <v>64261.507326364517</v>
      </c>
    </row>
    <row r="63" spans="1:6" x14ac:dyDescent="0.25">
      <c r="A63" s="7">
        <v>211</v>
      </c>
      <c r="B63" s="2">
        <v>31426</v>
      </c>
      <c r="C63" s="1">
        <f>(teraterm[[#This Row],[Value(V)]]+$K$2)*$S$2</f>
        <v>-254.3192138671875</v>
      </c>
      <c r="D63" s="1">
        <f>(teraterm[[#This Row],[Column2]]-Q$4)*$S$3*1000</f>
        <v>12787.272135416666</v>
      </c>
      <c r="E63" s="1">
        <f>IF(ABS(VALUE(teraterm[[#This Row],[Column1]]))&lt;4096,VALUE(teraterm[[#This Row],[Column1]]),0)</f>
        <v>211</v>
      </c>
      <c r="F63" s="1">
        <f>teraterm[[#This Row],[V(V)]]^2</f>
        <v>64678.262542024255</v>
      </c>
    </row>
    <row r="64" spans="1:6" x14ac:dyDescent="0.25">
      <c r="A64" s="7">
        <v>210</v>
      </c>
      <c r="B64" s="2">
        <v>-32440</v>
      </c>
      <c r="C64" s="1">
        <f>(teraterm[[#This Row],[Value(V)]]+$K$2)*$S$2</f>
        <v>-254.410400390625</v>
      </c>
      <c r="D64" s="1">
        <f>(teraterm[[#This Row],[Column2]]-Q$4)*$S$3*1000</f>
        <v>-13199.869791666666</v>
      </c>
      <c r="E64" s="1">
        <f>IF(ABS(VALUE(teraterm[[#This Row],[Column1]]))&lt;4096,VALUE(teraterm[[#This Row],[Column1]]),0)</f>
        <v>210</v>
      </c>
      <c r="F64" s="1">
        <f>teraterm[[#This Row],[V(V)]]^2</f>
        <v>64724.651826918125</v>
      </c>
    </row>
    <row r="65" spans="1:6" x14ac:dyDescent="0.25">
      <c r="A65" s="7">
        <v>229</v>
      </c>
      <c r="B65" s="2">
        <v>-25677</v>
      </c>
      <c r="C65" s="1">
        <f>(teraterm[[#This Row],[Value(V)]]+$K$2)*$S$2</f>
        <v>-252.6778564453125</v>
      </c>
      <c r="D65" s="1">
        <f>(teraterm[[#This Row],[Column2]]-Q$4)*$S$3*1000</f>
        <v>-10447.998046874998</v>
      </c>
      <c r="E65" s="1">
        <f>IF(ABS(VALUE(teraterm[[#This Row],[Column1]]))&lt;4096,VALUE(teraterm[[#This Row],[Column1]]),0)</f>
        <v>229</v>
      </c>
      <c r="F65" s="1">
        <f>teraterm[[#This Row],[V(V)]]^2</f>
        <v>63846.099137797952</v>
      </c>
    </row>
    <row r="66" spans="1:6" x14ac:dyDescent="0.25">
      <c r="A66" s="7">
        <v>316</v>
      </c>
      <c r="B66" s="2">
        <v>-1600</v>
      </c>
      <c r="C66" s="1">
        <f>(teraterm[[#This Row],[Value(V)]]+$K$2)*$S$2</f>
        <v>-244.74462890625</v>
      </c>
      <c r="D66" s="1">
        <f>(teraterm[[#This Row],[Column2]]-Q$4)*$S$3*1000</f>
        <v>-651.04166666666663</v>
      </c>
      <c r="E66" s="1">
        <f>IF(ABS(VALUE(teraterm[[#This Row],[Column1]]))&lt;4096,VALUE(teraterm[[#This Row],[Column1]]),0)</f>
        <v>316</v>
      </c>
      <c r="F66" s="1">
        <f>teraterm[[#This Row],[V(V)]]^2</f>
        <v>59899.933378458023</v>
      </c>
    </row>
    <row r="67" spans="1:6" x14ac:dyDescent="0.25">
      <c r="A67" s="7">
        <v>501</v>
      </c>
      <c r="B67" s="2">
        <v>-18163</v>
      </c>
      <c r="C67" s="1">
        <f>(teraterm[[#This Row],[Value(V)]]+$K$2)*$S$2</f>
        <v>-227.8751220703125</v>
      </c>
      <c r="D67" s="1">
        <f>(teraterm[[#This Row],[Column2]]-Q$4)*$S$3*1000</f>
        <v>-7390.5436197916661</v>
      </c>
      <c r="E67" s="1">
        <f>IF(ABS(VALUE(teraterm[[#This Row],[Column1]]))&lt;4096,VALUE(teraterm[[#This Row],[Column1]]),0)</f>
        <v>501</v>
      </c>
      <c r="F67" s="1">
        <f>teraterm[[#This Row],[V(V)]]^2</f>
        <v>51927.071258559823</v>
      </c>
    </row>
    <row r="68" spans="1:6" x14ac:dyDescent="0.25">
      <c r="A68" s="7">
        <v>703</v>
      </c>
      <c r="B68" s="2">
        <v>-30583</v>
      </c>
      <c r="C68" s="1">
        <f>(teraterm[[#This Row],[Value(V)]]+$K$2)*$S$2</f>
        <v>-209.4554443359375</v>
      </c>
      <c r="D68" s="1">
        <f>(teraterm[[#This Row],[Column2]]-Q$4)*$S$3*1000</f>
        <v>-12444.254557291666</v>
      </c>
      <c r="E68" s="1">
        <f>IF(ABS(VALUE(teraterm[[#This Row],[Column1]]))&lt;4096,VALUE(teraterm[[#This Row],[Column1]]),0)</f>
        <v>703</v>
      </c>
      <c r="F68" s="1">
        <f>teraterm[[#This Row],[V(V)]]^2</f>
        <v>43871.583161965013</v>
      </c>
    </row>
    <row r="69" spans="1:6" x14ac:dyDescent="0.25">
      <c r="A69" s="7">
        <v>907</v>
      </c>
      <c r="B69" s="2">
        <v>22836</v>
      </c>
      <c r="C69" s="1">
        <f>(teraterm[[#This Row],[Value(V)]]+$K$2)*$S$2</f>
        <v>-190.8533935546875</v>
      </c>
      <c r="D69" s="1">
        <f>(teraterm[[#This Row],[Column2]]-Q$4)*$S$3*1000</f>
        <v>9291.9921875</v>
      </c>
      <c r="E69" s="1">
        <f>IF(ABS(VALUE(teraterm[[#This Row],[Column1]]))&lt;4096,VALUE(teraterm[[#This Row],[Column1]]),0)</f>
        <v>907</v>
      </c>
      <c r="F69" s="1">
        <f>teraterm[[#This Row],[V(V)]]^2</f>
        <v>36425.017831340432</v>
      </c>
    </row>
    <row r="70" spans="1:6" x14ac:dyDescent="0.25">
      <c r="A70" s="7">
        <v>1147</v>
      </c>
      <c r="B70" s="2">
        <v>19690</v>
      </c>
      <c r="C70" s="1">
        <f>(teraterm[[#This Row],[Value(V)]]+$K$2)*$S$2</f>
        <v>-168.9686279296875</v>
      </c>
      <c r="D70" s="1">
        <f>(teraterm[[#This Row],[Column2]]-Q$4)*$S$3*1000</f>
        <v>8011.8815104166661</v>
      </c>
      <c r="E70" s="1">
        <f>IF(ABS(VALUE(teraterm[[#This Row],[Column1]]))&lt;4096,VALUE(teraterm[[#This Row],[Column1]]),0)</f>
        <v>1147</v>
      </c>
      <c r="F70" s="1">
        <f>teraterm[[#This Row],[V(V)]]^2</f>
        <v>28550.397224441171</v>
      </c>
    </row>
    <row r="71" spans="1:6" x14ac:dyDescent="0.25">
      <c r="A71" s="7">
        <v>1395</v>
      </c>
      <c r="B71" s="2">
        <v>18341</v>
      </c>
      <c r="C71" s="1">
        <f>(teraterm[[#This Row],[Value(V)]]+$K$2)*$S$2</f>
        <v>-146.3543701171875</v>
      </c>
      <c r="D71" s="1">
        <f>(teraterm[[#This Row],[Column2]]-Q$4)*$S$3*1000</f>
        <v>7462.972005208333</v>
      </c>
      <c r="E71" s="1">
        <f>IF(ABS(VALUE(teraterm[[#This Row],[Column1]]))&lt;4096,VALUE(teraterm[[#This Row],[Column1]]),0)</f>
        <v>1395</v>
      </c>
      <c r="F71" s="1">
        <f>teraterm[[#This Row],[V(V)]]^2</f>
        <v>21419.601652398705</v>
      </c>
    </row>
    <row r="72" spans="1:6" x14ac:dyDescent="0.25">
      <c r="A72" s="7">
        <v>1640</v>
      </c>
      <c r="B72" s="2">
        <v>15976</v>
      </c>
      <c r="C72" s="1">
        <f>(teraterm[[#This Row],[Value(V)]]+$K$2)*$S$2</f>
        <v>-124.013671875</v>
      </c>
      <c r="D72" s="1">
        <f>(teraterm[[#This Row],[Column2]]-Q$4)*$S$3*1000</f>
        <v>6500.6510416666661</v>
      </c>
      <c r="E72" s="1">
        <f>IF(ABS(VALUE(teraterm[[#This Row],[Column1]]))&lt;4096,VALUE(teraterm[[#This Row],[Column1]]),0)</f>
        <v>1640</v>
      </c>
      <c r="F72" s="1">
        <f>teraterm[[#This Row],[V(V)]]^2</f>
        <v>15379.390811920166</v>
      </c>
    </row>
    <row r="73" spans="1:6" x14ac:dyDescent="0.25">
      <c r="A73" s="7">
        <v>1911</v>
      </c>
      <c r="B73" s="2">
        <v>19994</v>
      </c>
      <c r="C73" s="1">
        <f>(teraterm[[#This Row],[Value(V)]]+$K$2)*$S$2</f>
        <v>-99.3021240234375</v>
      </c>
      <c r="D73" s="1">
        <f>(teraterm[[#This Row],[Column2]]-Q$4)*$S$3*1000</f>
        <v>8135.5794270833321</v>
      </c>
      <c r="E73" s="1">
        <f>IF(ABS(VALUE(teraterm[[#This Row],[Column1]]))&lt;4096,VALUE(teraterm[[#This Row],[Column1]]),0)</f>
        <v>1911</v>
      </c>
      <c r="F73" s="1">
        <f>teraterm[[#This Row],[V(V)]]^2</f>
        <v>9860.9118355661631</v>
      </c>
    </row>
    <row r="74" spans="1:6" x14ac:dyDescent="0.25">
      <c r="A74" s="7">
        <v>2195</v>
      </c>
      <c r="B74" s="2">
        <v>27055</v>
      </c>
      <c r="C74" s="1">
        <f>(teraterm[[#This Row],[Value(V)]]+$K$2)*$S$2</f>
        <v>-73.4051513671875</v>
      </c>
      <c r="D74" s="1">
        <f>(teraterm[[#This Row],[Column2]]-Q$4)*$S$3*1000</f>
        <v>11008.707682291666</v>
      </c>
      <c r="E74" s="1">
        <f>IF(ABS(VALUE(teraterm[[#This Row],[Column1]]))&lt;4096,VALUE(teraterm[[#This Row],[Column1]]),0)</f>
        <v>2195</v>
      </c>
      <c r="F74" s="1">
        <f>teraterm[[#This Row],[V(V)]]^2</f>
        <v>5388.3162472397089</v>
      </c>
    </row>
    <row r="75" spans="1:6" x14ac:dyDescent="0.25">
      <c r="A75" s="7">
        <v>2463</v>
      </c>
      <c r="B75" s="2">
        <v>29753</v>
      </c>
      <c r="C75" s="1">
        <f>(teraterm[[#This Row],[Value(V)]]+$K$2)*$S$2</f>
        <v>-48.9671630859375</v>
      </c>
      <c r="D75" s="1">
        <f>(teraterm[[#This Row],[Column2]]-Q$4)*$S$3*1000</f>
        <v>12106.526692708332</v>
      </c>
      <c r="E75" s="1">
        <f>IF(ABS(VALUE(teraterm[[#This Row],[Column1]]))&lt;4096,VALUE(teraterm[[#This Row],[Column1]]),0)</f>
        <v>2463</v>
      </c>
      <c r="F75" s="1">
        <f>teraterm[[#This Row],[V(V)]]^2</f>
        <v>2397.7830606848001</v>
      </c>
    </row>
    <row r="76" spans="1:6" x14ac:dyDescent="0.25">
      <c r="A76" s="7">
        <v>2706</v>
      </c>
      <c r="B76" s="2">
        <v>25809</v>
      </c>
      <c r="C76" s="1">
        <f>(teraterm[[#This Row],[Value(V)]]+$K$2)*$S$2</f>
        <v>-26.808837890625</v>
      </c>
      <c r="D76" s="1">
        <f>(teraterm[[#This Row],[Column2]]-Q$4)*$S$3*1000</f>
        <v>10501.708984374998</v>
      </c>
      <c r="E76" s="1">
        <f>IF(ABS(VALUE(teraterm[[#This Row],[Column1]]))&lt;4096,VALUE(teraterm[[#This Row],[Column1]]),0)</f>
        <v>2706</v>
      </c>
      <c r="F76" s="1">
        <f>teraterm[[#This Row],[V(V)]]^2</f>
        <v>718.7137890458107</v>
      </c>
    </row>
    <row r="77" spans="1:6" x14ac:dyDescent="0.25">
      <c r="A77" s="7">
        <v>2954</v>
      </c>
      <c r="B77" s="2">
        <v>22900</v>
      </c>
      <c r="C77" s="1">
        <f>(teraterm[[#This Row],[Value(V)]]+$K$2)*$S$2</f>
        <v>-4.194580078125</v>
      </c>
      <c r="D77" s="1">
        <f>(teraterm[[#This Row],[Column2]]-Q$4)*$S$3*1000</f>
        <v>9318.0338541666661</v>
      </c>
      <c r="E77" s="1">
        <f>IF(ABS(VALUE(teraterm[[#This Row],[Column1]]))&lt;4096,VALUE(teraterm[[#This Row],[Column1]]),0)</f>
        <v>2954</v>
      </c>
      <c r="F77" s="1">
        <f>teraterm[[#This Row],[V(V)]]^2</f>
        <v>17.594502031803131</v>
      </c>
    </row>
    <row r="78" spans="1:6" x14ac:dyDescent="0.25">
      <c r="A78" s="7">
        <v>3184</v>
      </c>
      <c r="B78" s="2">
        <v>15156</v>
      </c>
      <c r="C78" s="1">
        <f>(teraterm[[#This Row],[Value(V)]]+$K$2)*$S$2</f>
        <v>16.7783203125</v>
      </c>
      <c r="D78" s="1">
        <f>(teraterm[[#This Row],[Column2]]-Q$4)*$S$3*1000</f>
        <v>6166.9921874999991</v>
      </c>
      <c r="E78" s="1">
        <f>IF(ABS(VALUE(teraterm[[#This Row],[Column1]]))&lt;4096,VALUE(teraterm[[#This Row],[Column1]]),0)</f>
        <v>3184</v>
      </c>
      <c r="F78" s="1">
        <f>teraterm[[#This Row],[V(V)]]^2</f>
        <v>281.5120325088501</v>
      </c>
    </row>
    <row r="79" spans="1:6" x14ac:dyDescent="0.25">
      <c r="A79" s="7">
        <v>3398</v>
      </c>
      <c r="B79" s="2">
        <v>3106</v>
      </c>
      <c r="C79" s="1">
        <f>(teraterm[[#This Row],[Value(V)]]+$K$2)*$S$2</f>
        <v>36.292236328125</v>
      </c>
      <c r="D79" s="1">
        <f>(teraterm[[#This Row],[Column2]]-Q$4)*$S$3*1000</f>
        <v>1263.8346354166665</v>
      </c>
      <c r="E79" s="1">
        <f>IF(ABS(VALUE(teraterm[[#This Row],[Column1]]))&lt;4096,VALUE(teraterm[[#This Row],[Column1]]),0)</f>
        <v>3398</v>
      </c>
      <c r="F79" s="1">
        <f>teraterm[[#This Row],[V(V)]]^2</f>
        <v>1317.126417696476</v>
      </c>
    </row>
    <row r="80" spans="1:6" x14ac:dyDescent="0.25">
      <c r="A80" s="7">
        <v>3601</v>
      </c>
      <c r="B80" s="2">
        <v>-11958</v>
      </c>
      <c r="C80" s="1">
        <f>(teraterm[[#This Row],[Value(V)]]+$K$2)*$S$2</f>
        <v>54.8031005859375</v>
      </c>
      <c r="D80" s="1">
        <f>(teraterm[[#This Row],[Column2]]-Q$4)*$S$3*1000</f>
        <v>-4865.72265625</v>
      </c>
      <c r="E80" s="1">
        <f>IF(ABS(VALUE(teraterm[[#This Row],[Column1]]))&lt;4096,VALUE(teraterm[[#This Row],[Column1]]),0)</f>
        <v>3601</v>
      </c>
      <c r="F80" s="1">
        <f>teraterm[[#This Row],[V(V)]]^2</f>
        <v>3003.3798338323832</v>
      </c>
    </row>
    <row r="81" spans="1:6" x14ac:dyDescent="0.25">
      <c r="A81" s="7">
        <v>3767</v>
      </c>
      <c r="B81" s="2">
        <v>28882</v>
      </c>
      <c r="C81" s="1">
        <f>(teraterm[[#This Row],[Value(V)]]+$K$2)*$S$2</f>
        <v>69.9400634765625</v>
      </c>
      <c r="D81" s="1">
        <f>(teraterm[[#This Row],[Column2]]-Q$4)*$S$3*1000</f>
        <v>11752.115885416666</v>
      </c>
      <c r="E81" s="1">
        <f>IF(ABS(VALUE(teraterm[[#This Row],[Column1]]))&lt;4096,VALUE(teraterm[[#This Row],[Column1]]),0)</f>
        <v>3767</v>
      </c>
      <c r="F81" s="1">
        <f>teraterm[[#This Row],[V(V)]]^2</f>
        <v>4891.6124791055918</v>
      </c>
    </row>
    <row r="82" spans="1:6" x14ac:dyDescent="0.25">
      <c r="A82" s="7">
        <v>3898</v>
      </c>
      <c r="B82" s="2">
        <v>-4898</v>
      </c>
      <c r="C82" s="1">
        <f>(teraterm[[#This Row],[Value(V)]]+$K$2)*$S$2</f>
        <v>81.885498046875</v>
      </c>
      <c r="D82" s="1">
        <f>(teraterm[[#This Row],[Column2]]-Q$4)*$S$3*1000</f>
        <v>-1993.0013020833333</v>
      </c>
      <c r="E82" s="1">
        <f>IF(ABS(VALUE(teraterm[[#This Row],[Column1]]))&lt;4096,VALUE(teraterm[[#This Row],[Column1]]),0)</f>
        <v>3898</v>
      </c>
      <c r="F82" s="1">
        <f>teraterm[[#This Row],[V(V)]]^2</f>
        <v>6705.2347903847694</v>
      </c>
    </row>
    <row r="83" spans="1:6" x14ac:dyDescent="0.25">
      <c r="A83" s="7">
        <v>3982</v>
      </c>
      <c r="B83" s="2">
        <v>14749</v>
      </c>
      <c r="C83" s="1">
        <f>(teraterm[[#This Row],[Value(V)]]+$K$2)*$S$2</f>
        <v>89.545166015625</v>
      </c>
      <c r="D83" s="1">
        <f>(teraterm[[#This Row],[Column2]]-Q$4)*$S$3*1000</f>
        <v>6001.3834635416661</v>
      </c>
      <c r="E83" s="1">
        <f>IF(ABS(VALUE(teraterm[[#This Row],[Column1]]))&lt;4096,VALUE(teraterm[[#This Row],[Column1]]),0)</f>
        <v>3982</v>
      </c>
      <c r="F83" s="1">
        <f>teraterm[[#This Row],[V(V)]]^2</f>
        <v>8018.3367567658424</v>
      </c>
    </row>
    <row r="84" spans="1:6" x14ac:dyDescent="0.25">
      <c r="A84" s="7">
        <v>4009</v>
      </c>
      <c r="B84" s="2">
        <v>19784</v>
      </c>
      <c r="C84" s="1">
        <f>(teraterm[[#This Row],[Value(V)]]+$K$2)*$S$2</f>
        <v>92.0072021484375</v>
      </c>
      <c r="D84" s="1">
        <f>(teraterm[[#This Row],[Column2]]-Q$4)*$S$3*1000</f>
        <v>8050.1302083333321</v>
      </c>
      <c r="E84" s="1">
        <f>IF(ABS(VALUE(teraterm[[#This Row],[Column1]]))&lt;4096,VALUE(teraterm[[#This Row],[Column1]]),0)</f>
        <v>4009</v>
      </c>
      <c r="F84" s="1">
        <f>teraterm[[#This Row],[V(V)]]^2</f>
        <v>8465.3252471834421</v>
      </c>
    </row>
    <row r="85" spans="1:6" x14ac:dyDescent="0.25">
      <c r="A85" s="7">
        <v>4026</v>
      </c>
      <c r="B85" s="2">
        <v>22249</v>
      </c>
      <c r="C85" s="1">
        <f>(teraterm[[#This Row],[Value(V)]]+$K$2)*$S$2</f>
        <v>93.557373046875</v>
      </c>
      <c r="D85" s="1">
        <f>(teraterm[[#This Row],[Column2]]-Q$4)*$S$3*1000</f>
        <v>9053.1412760416661</v>
      </c>
      <c r="E85" s="1">
        <f>IF(ABS(VALUE(teraterm[[#This Row],[Column1]]))&lt;4096,VALUE(teraterm[[#This Row],[Column1]]),0)</f>
        <v>4026</v>
      </c>
      <c r="F85" s="1">
        <f>teraterm[[#This Row],[V(V)]]^2</f>
        <v>8752.9820514321327</v>
      </c>
    </row>
    <row r="86" spans="1:6" x14ac:dyDescent="0.25">
      <c r="A86" s="7">
        <v>4035</v>
      </c>
      <c r="B86" s="2">
        <v>22665</v>
      </c>
      <c r="C86" s="1">
        <f>(teraterm[[#This Row],[Value(V)]]+$K$2)*$S$2</f>
        <v>94.3780517578125</v>
      </c>
      <c r="D86" s="1">
        <f>(teraterm[[#This Row],[Column2]]-Q$4)*$S$3*1000</f>
        <v>9222.412109375</v>
      </c>
      <c r="E86" s="1">
        <f>IF(ABS(VALUE(teraterm[[#This Row],[Column1]]))&lt;4096,VALUE(teraterm[[#This Row],[Column1]]),0)</f>
        <v>4035</v>
      </c>
      <c r="F86" s="1">
        <f>teraterm[[#This Row],[V(V)]]^2</f>
        <v>8907.2166536003351</v>
      </c>
    </row>
    <row r="87" spans="1:6" x14ac:dyDescent="0.25">
      <c r="A87" s="7">
        <v>4032</v>
      </c>
      <c r="B87" s="2">
        <v>20019</v>
      </c>
      <c r="C87" s="1">
        <f>(teraterm[[#This Row],[Value(V)]]+$K$2)*$S$2</f>
        <v>94.1044921875</v>
      </c>
      <c r="D87" s="1">
        <f>(teraterm[[#This Row],[Column2]]-Q$4)*$S$3*1000</f>
        <v>8145.751953125</v>
      </c>
      <c r="E87" s="1">
        <f>IF(ABS(VALUE(teraterm[[#This Row],[Column1]]))&lt;4096,VALUE(teraterm[[#This Row],[Column1]]),0)</f>
        <v>4032</v>
      </c>
      <c r="F87" s="1">
        <f>teraterm[[#This Row],[V(V)]]^2</f>
        <v>8855.6554498672485</v>
      </c>
    </row>
    <row r="88" spans="1:6" x14ac:dyDescent="0.25">
      <c r="A88" s="7">
        <v>3980</v>
      </c>
      <c r="B88" s="2">
        <v>4888</v>
      </c>
      <c r="C88" s="1">
        <f>(teraterm[[#This Row],[Value(V)]]+$K$2)*$S$2</f>
        <v>89.36279296875</v>
      </c>
      <c r="D88" s="1">
        <f>(teraterm[[#This Row],[Column2]]-Q$4)*$S$3*1000</f>
        <v>1988.9322916666665</v>
      </c>
      <c r="E88" s="1">
        <f>IF(ABS(VALUE(teraterm[[#This Row],[Column1]]))&lt;4096,VALUE(teraterm[[#This Row],[Column1]]),0)</f>
        <v>3980</v>
      </c>
      <c r="F88" s="1">
        <f>teraterm[[#This Row],[V(V)]]^2</f>
        <v>7985.7087671756744</v>
      </c>
    </row>
    <row r="89" spans="1:6" x14ac:dyDescent="0.25">
      <c r="A89" s="7">
        <v>3840</v>
      </c>
      <c r="B89" s="2">
        <v>-32624</v>
      </c>
      <c r="C89" s="1">
        <f>(teraterm[[#This Row],[Value(V)]]+$K$2)*$S$2</f>
        <v>76.5966796875</v>
      </c>
      <c r="D89" s="1">
        <f>(teraterm[[#This Row],[Column2]]-Q$4)*$S$3*1000</f>
        <v>-13274.739583333332</v>
      </c>
      <c r="E89" s="1">
        <f>IF(ABS(VALUE(teraterm[[#This Row],[Column1]]))&lt;4096,VALUE(teraterm[[#This Row],[Column1]]),0)</f>
        <v>3840</v>
      </c>
      <c r="F89" s="1">
        <f>teraterm[[#This Row],[V(V)]]^2</f>
        <v>5867.0513391494751</v>
      </c>
    </row>
    <row r="90" spans="1:6" x14ac:dyDescent="0.25">
      <c r="A90" s="7">
        <v>3649</v>
      </c>
      <c r="B90" s="2">
        <v>-17458</v>
      </c>
      <c r="C90" s="1">
        <f>(teraterm[[#This Row],[Value(V)]]+$K$2)*$S$2</f>
        <v>59.1800537109375</v>
      </c>
      <c r="D90" s="1">
        <f>(teraterm[[#This Row],[Column2]]-Q$4)*$S$3*1000</f>
        <v>-7103.6783854166661</v>
      </c>
      <c r="E90" s="1">
        <f>IF(ABS(VALUE(teraterm[[#This Row],[Column1]]))&lt;4096,VALUE(teraterm[[#This Row],[Column1]]),0)</f>
        <v>3649</v>
      </c>
      <c r="F90" s="1">
        <f>teraterm[[#This Row],[V(V)]]^2</f>
        <v>3502.2787572294474</v>
      </c>
    </row>
    <row r="91" spans="1:6" x14ac:dyDescent="0.25">
      <c r="A91" s="7">
        <v>3457</v>
      </c>
      <c r="B91" s="2">
        <v>-2350</v>
      </c>
      <c r="C91" s="1">
        <f>(teraterm[[#This Row],[Value(V)]]+$K$2)*$S$2</f>
        <v>41.6722412109375</v>
      </c>
      <c r="D91" s="1">
        <f>(teraterm[[#This Row],[Column2]]-Q$4)*$S$3*1000</f>
        <v>-956.21744791666663</v>
      </c>
      <c r="E91" s="1">
        <f>IF(ABS(VALUE(teraterm[[#This Row],[Column1]]))&lt;4096,VALUE(teraterm[[#This Row],[Column1]]),0)</f>
        <v>3457</v>
      </c>
      <c r="F91" s="1">
        <f>teraterm[[#This Row],[V(V)]]^2</f>
        <v>1736.5756875425577</v>
      </c>
    </row>
    <row r="92" spans="1:6" x14ac:dyDescent="0.25">
      <c r="A92" s="7">
        <v>3242</v>
      </c>
      <c r="B92" s="2">
        <v>7090</v>
      </c>
      <c r="C92" s="1">
        <f>(teraterm[[#This Row],[Value(V)]]+$K$2)*$S$2</f>
        <v>22.067138671875</v>
      </c>
      <c r="D92" s="1">
        <f>(teraterm[[#This Row],[Column2]]-Q$4)*$S$3*1000</f>
        <v>2884.9283854166665</v>
      </c>
      <c r="E92" s="1">
        <f>IF(ABS(VALUE(teraterm[[#This Row],[Column1]]))&lt;4096,VALUE(teraterm[[#This Row],[Column1]]),0)</f>
        <v>3242</v>
      </c>
      <c r="F92" s="1">
        <f>teraterm[[#This Row],[V(V)]]^2</f>
        <v>486.95860916376114</v>
      </c>
    </row>
    <row r="93" spans="1:6" x14ac:dyDescent="0.25">
      <c r="A93" s="7">
        <v>3001</v>
      </c>
      <c r="B93" s="2">
        <v>10119</v>
      </c>
      <c r="C93" s="1">
        <f>(teraterm[[#This Row],[Value(V)]]+$K$2)*$S$2</f>
        <v>9.11865234375E-2</v>
      </c>
      <c r="D93" s="1">
        <f>(teraterm[[#This Row],[Column2]]-Q$4)*$S$3*1000</f>
        <v>4117.431640625</v>
      </c>
      <c r="E93" s="1">
        <f>IF(ABS(VALUE(teraterm[[#This Row],[Column1]]))&lt;4096,VALUE(teraterm[[#This Row],[Column1]]),0)</f>
        <v>3001</v>
      </c>
      <c r="F93" s="1">
        <f>teraterm[[#This Row],[V(V)]]^2</f>
        <v>8.3149820566177368E-3</v>
      </c>
    </row>
    <row r="94" spans="1:6" x14ac:dyDescent="0.25">
      <c r="A94" s="7">
        <v>2763</v>
      </c>
      <c r="B94" s="2">
        <v>14157</v>
      </c>
      <c r="C94" s="1">
        <f>(teraterm[[#This Row],[Value(V)]]+$K$2)*$S$2</f>
        <v>-21.6112060546875</v>
      </c>
      <c r="D94" s="1">
        <f>(teraterm[[#This Row],[Column2]]-Q$4)*$S$3*1000</f>
        <v>5760.4980468749991</v>
      </c>
      <c r="E94" s="1">
        <f>IF(ABS(VALUE(teraterm[[#This Row],[Column1]]))&lt;4096,VALUE(teraterm[[#This Row],[Column1]]),0)</f>
        <v>2763</v>
      </c>
      <c r="F94" s="1">
        <f>teraterm[[#This Row],[V(V)]]^2</f>
        <v>467.04422713816166</v>
      </c>
    </row>
    <row r="95" spans="1:6" x14ac:dyDescent="0.25">
      <c r="A95" s="7">
        <v>2505</v>
      </c>
      <c r="B95" s="2">
        <v>13335</v>
      </c>
      <c r="C95" s="1">
        <f>(teraterm[[#This Row],[Value(V)]]+$K$2)*$S$2</f>
        <v>-45.1373291015625</v>
      </c>
      <c r="D95" s="1">
        <f>(teraterm[[#This Row],[Column2]]-Q$4)*$S$3*1000</f>
        <v>5426.0253906249991</v>
      </c>
      <c r="E95" s="1">
        <f>IF(ABS(VALUE(teraterm[[#This Row],[Column1]]))&lt;4096,VALUE(teraterm[[#This Row],[Column1]]),0)</f>
        <v>2505</v>
      </c>
      <c r="F95" s="1">
        <f>teraterm[[#This Row],[V(V)]]^2</f>
        <v>2037.378478422761</v>
      </c>
    </row>
    <row r="96" spans="1:6" x14ac:dyDescent="0.25">
      <c r="A96" s="7">
        <v>1066</v>
      </c>
      <c r="B96" s="2">
        <v>-3259</v>
      </c>
      <c r="C96" s="1">
        <f>(teraterm[[#This Row],[Value(V)]]+$K$2)*$S$2</f>
        <v>-176.354736328125</v>
      </c>
      <c r="D96" s="1">
        <f>(teraterm[[#This Row],[Column2]]-Q$4)*$S$3*1000</f>
        <v>-1326.0904947916665</v>
      </c>
      <c r="E96" s="1">
        <f>IF(ABS(VALUE(teraterm[[#This Row],[Column1]]))&lt;4096,VALUE(teraterm[[#This Row],[Column1]]),0)</f>
        <v>1066</v>
      </c>
      <c r="F96" s="1">
        <f>teraterm[[#This Row],[V(V)]]^2</f>
        <v>31100.993025362492</v>
      </c>
    </row>
    <row r="97" spans="1:6" x14ac:dyDescent="0.25">
      <c r="A97" s="7">
        <v>1315</v>
      </c>
      <c r="B97" s="2">
        <v>-4264</v>
      </c>
      <c r="C97" s="1">
        <f>(teraterm[[#This Row],[Value(V)]]+$K$2)*$S$2</f>
        <v>-153.6492919921875</v>
      </c>
      <c r="D97" s="1">
        <f>(teraterm[[#This Row],[Column2]]-Q$4)*$S$3*1000</f>
        <v>-1735.0260416666665</v>
      </c>
      <c r="E97" s="1">
        <f>IF(ABS(VALUE(teraterm[[#This Row],[Column1]]))&lt;4096,VALUE(teraterm[[#This Row],[Column1]]),0)</f>
        <v>1315</v>
      </c>
      <c r="F97" s="1">
        <f>teraterm[[#This Row],[V(V)]]^2</f>
        <v>23608.104929700494</v>
      </c>
    </row>
    <row r="98" spans="1:6" x14ac:dyDescent="0.25">
      <c r="A98" s="7">
        <v>1560</v>
      </c>
      <c r="B98" s="2">
        <v>-6541</v>
      </c>
      <c r="C98" s="1">
        <f>(teraterm[[#This Row],[Value(V)]]+$K$2)*$S$2</f>
        <v>-131.30859375</v>
      </c>
      <c r="D98" s="1">
        <f>(teraterm[[#This Row],[Column2]]-Q$4)*$S$3*1000</f>
        <v>-2661.5397135416665</v>
      </c>
      <c r="E98" s="1">
        <f>IF(ABS(VALUE(teraterm[[#This Row],[Column1]]))&lt;4096,VALUE(teraterm[[#This Row],[Column1]]),0)</f>
        <v>1560</v>
      </c>
      <c r="F98" s="1">
        <f>teraterm[[#This Row],[V(V)]]^2</f>
        <v>17241.946792602539</v>
      </c>
    </row>
    <row r="99" spans="1:6" x14ac:dyDescent="0.25">
      <c r="A99" s="7">
        <v>1820</v>
      </c>
      <c r="B99" s="2">
        <v>-5240</v>
      </c>
      <c r="C99" s="1">
        <f>(teraterm[[#This Row],[Value(V)]]+$K$2)*$S$2</f>
        <v>-107.60009765625</v>
      </c>
      <c r="D99" s="1">
        <f>(teraterm[[#This Row],[Column2]]-Q$4)*$S$3*1000</f>
        <v>-2132.161458333333</v>
      </c>
      <c r="E99" s="1">
        <f>IF(ABS(VALUE(teraterm[[#This Row],[Column1]]))&lt;4096,VALUE(teraterm[[#This Row],[Column1]]),0)</f>
        <v>1820</v>
      </c>
      <c r="F99" s="1">
        <f>teraterm[[#This Row],[V(V)]]^2</f>
        <v>11577.781015634537</v>
      </c>
    </row>
    <row r="100" spans="1:6" x14ac:dyDescent="0.25">
      <c r="A100" s="7">
        <v>2105</v>
      </c>
      <c r="B100" s="2">
        <v>2175</v>
      </c>
      <c r="C100" s="1">
        <f>(teraterm[[#This Row],[Value(V)]]+$K$2)*$S$2</f>
        <v>-81.6119384765625</v>
      </c>
      <c r="D100" s="1">
        <f>(teraterm[[#This Row],[Column2]]-Q$4)*$S$3*1000</f>
        <v>885.00976562499989</v>
      </c>
      <c r="E100" s="1">
        <f>IF(ABS(VALUE(teraterm[[#This Row],[Column1]]))&lt;4096,VALUE(teraterm[[#This Row],[Column1]]),0)</f>
        <v>2105</v>
      </c>
      <c r="F100" s="1">
        <f>teraterm[[#This Row],[V(V)]]^2</f>
        <v>6660.5085019022226</v>
      </c>
    </row>
    <row r="101" spans="1:6" x14ac:dyDescent="0.25">
      <c r="A101" s="7">
        <v>2384</v>
      </c>
      <c r="B101" s="2">
        <v>7775</v>
      </c>
      <c r="C101" s="1">
        <f>(teraterm[[#This Row],[Value(V)]]+$K$2)*$S$2</f>
        <v>-56.1708984375</v>
      </c>
      <c r="D101" s="1">
        <f>(teraterm[[#This Row],[Column2]]-Q$4)*$S$3*1000</f>
        <v>3163.655598958333</v>
      </c>
      <c r="E101" s="1">
        <f>IF(ABS(VALUE(teraterm[[#This Row],[Column1]]))&lt;4096,VALUE(teraterm[[#This Row],[Column1]]),0)</f>
        <v>2384</v>
      </c>
      <c r="F101" s="1">
        <f>teraterm[[#This Row],[V(V)]]^2</f>
        <v>3155.1698312759399</v>
      </c>
    </row>
    <row r="102" spans="1:6" x14ac:dyDescent="0.25">
      <c r="A102" s="7">
        <v>2627</v>
      </c>
      <c r="B102" s="2">
        <v>3917</v>
      </c>
      <c r="C102" s="1">
        <f>(teraterm[[#This Row],[Value(V)]]+$K$2)*$S$2</f>
        <v>-34.0125732421875</v>
      </c>
      <c r="D102" s="1">
        <f>(teraterm[[#This Row],[Column2]]-Q$4)*$S$3*1000</f>
        <v>1593.8313802083333</v>
      </c>
      <c r="E102" s="1">
        <f>IF(ABS(VALUE(teraterm[[#This Row],[Column1]]))&lt;4096,VALUE(teraterm[[#This Row],[Column1]]),0)</f>
        <v>2627</v>
      </c>
      <c r="F102" s="1">
        <f>teraterm[[#This Row],[V(V)]]^2</f>
        <v>1156.8551385551691</v>
      </c>
    </row>
    <row r="103" spans="1:6" x14ac:dyDescent="0.25">
      <c r="A103" s="7">
        <v>2877</v>
      </c>
      <c r="B103" s="2">
        <v>1603</v>
      </c>
      <c r="C103" s="1">
        <f>(teraterm[[#This Row],[Value(V)]]+$K$2)*$S$2</f>
        <v>-11.2159423828125</v>
      </c>
      <c r="D103" s="1">
        <f>(teraterm[[#This Row],[Column2]]-Q$4)*$S$3*1000</f>
        <v>652.26236979166663</v>
      </c>
      <c r="E103" s="1">
        <f>IF(ABS(VALUE(teraterm[[#This Row],[Column1]]))&lt;4096,VALUE(teraterm[[#This Row],[Column1]]),0)</f>
        <v>2877</v>
      </c>
      <c r="F103" s="1">
        <f>teraterm[[#This Row],[V(V)]]^2</f>
        <v>125.79736353456974</v>
      </c>
    </row>
    <row r="104" spans="1:6" x14ac:dyDescent="0.25">
      <c r="A104" s="7">
        <v>3116</v>
      </c>
      <c r="B104" s="2">
        <v>-3763</v>
      </c>
      <c r="C104" s="1">
        <f>(teraterm[[#This Row],[Value(V)]]+$K$2)*$S$2</f>
        <v>10.57763671875</v>
      </c>
      <c r="D104" s="1">
        <f>(teraterm[[#This Row],[Column2]]-Q$4)*$S$3*1000</f>
        <v>-1531.1686197916665</v>
      </c>
      <c r="E104" s="1">
        <f>IF(ABS(VALUE(teraterm[[#This Row],[Column1]]))&lt;4096,VALUE(teraterm[[#This Row],[Column1]]),0)</f>
        <v>3116</v>
      </c>
      <c r="F104" s="1">
        <f>teraterm[[#This Row],[V(V)]]^2</f>
        <v>111.88639855384827</v>
      </c>
    </row>
    <row r="105" spans="1:6" x14ac:dyDescent="0.25">
      <c r="A105" s="7">
        <v>3332</v>
      </c>
      <c r="B105" s="2">
        <v>-15229</v>
      </c>
      <c r="C105" s="1">
        <f>(teraterm[[#This Row],[Value(V)]]+$K$2)*$S$2</f>
        <v>30.27392578125</v>
      </c>
      <c r="D105" s="1">
        <f>(teraterm[[#This Row],[Column2]]-Q$4)*$S$3*1000</f>
        <v>-6196.6959635416661</v>
      </c>
      <c r="E105" s="1">
        <f>IF(ABS(VALUE(teraterm[[#This Row],[Column1]]))&lt;4096,VALUE(teraterm[[#This Row],[Column1]]),0)</f>
        <v>3332</v>
      </c>
      <c r="F105" s="1">
        <f>teraterm[[#This Row],[V(V)]]^2</f>
        <v>916.51058220863342</v>
      </c>
    </row>
    <row r="106" spans="1:6" x14ac:dyDescent="0.25">
      <c r="A106" s="7">
        <v>3540</v>
      </c>
      <c r="B106" s="2">
        <v>-28946</v>
      </c>
      <c r="C106" s="1">
        <f>(teraterm[[#This Row],[Value(V)]]+$K$2)*$S$2</f>
        <v>49.24072265625</v>
      </c>
      <c r="D106" s="1">
        <f>(teraterm[[#This Row],[Column2]]-Q$4)*$S$3*1000</f>
        <v>-11778.157552083332</v>
      </c>
      <c r="E106" s="1">
        <f>IF(ABS(VALUE(teraterm[[#This Row],[Column1]]))&lt;4096,VALUE(teraterm[[#This Row],[Column1]]),0)</f>
        <v>3540</v>
      </c>
      <c r="F106" s="1">
        <f>teraterm[[#This Row],[V(V)]]^2</f>
        <v>2424.6487677097321</v>
      </c>
    </row>
    <row r="107" spans="1:6" x14ac:dyDescent="0.25">
      <c r="A107" s="7">
        <v>3721</v>
      </c>
      <c r="B107" s="2">
        <v>15786</v>
      </c>
      <c r="C107" s="1">
        <f>(teraterm[[#This Row],[Value(V)]]+$K$2)*$S$2</f>
        <v>65.7454833984375</v>
      </c>
      <c r="D107" s="1">
        <f>(teraterm[[#This Row],[Column2]]-Q$4)*$S$3*1000</f>
        <v>6423.3398437499991</v>
      </c>
      <c r="E107" s="1">
        <f>IF(ABS(VALUE(teraterm[[#This Row],[Column1]]))&lt;4096,VALUE(teraterm[[#This Row],[Column1]]),0)</f>
        <v>3721</v>
      </c>
      <c r="F107" s="1">
        <f>teraterm[[#This Row],[V(V)]]^2</f>
        <v>4322.4685872942209</v>
      </c>
    </row>
    <row r="108" spans="1:6" x14ac:dyDescent="0.25">
      <c r="A108" s="7">
        <v>3861</v>
      </c>
      <c r="B108" s="2">
        <v>-15648</v>
      </c>
      <c r="C108" s="1">
        <f>(teraterm[[#This Row],[Value(V)]]+$K$2)*$S$2</f>
        <v>78.5115966796875</v>
      </c>
      <c r="D108" s="1">
        <f>(teraterm[[#This Row],[Column2]]-Q$4)*$S$3*1000</f>
        <v>-6367.1874999999991</v>
      </c>
      <c r="E108" s="1">
        <f>IF(ABS(VALUE(teraterm[[#This Row],[Column1]]))&lt;4096,VALUE(teraterm[[#This Row],[Column1]]),0)</f>
        <v>3861</v>
      </c>
      <c r="F108" s="1">
        <f>teraterm[[#This Row],[V(V)]]^2</f>
        <v>6164.0708131939173</v>
      </c>
    </row>
    <row r="109" spans="1:6" x14ac:dyDescent="0.25">
      <c r="A109" s="7">
        <v>3963</v>
      </c>
      <c r="B109" s="2">
        <v>8631</v>
      </c>
      <c r="C109" s="1">
        <f>(teraterm[[#This Row],[Value(V)]]+$K$2)*$S$2</f>
        <v>87.8126220703125</v>
      </c>
      <c r="D109" s="1">
        <f>(teraterm[[#This Row],[Column2]]-Q$4)*$S$3*1000</f>
        <v>3511.9628906249995</v>
      </c>
      <c r="E109" s="1">
        <f>IF(ABS(VALUE(teraterm[[#This Row],[Column1]]))&lt;4096,VALUE(teraterm[[#This Row],[Column1]]),0)</f>
        <v>3963</v>
      </c>
      <c r="F109" s="1">
        <f>teraterm[[#This Row],[V(V)]]^2</f>
        <v>7711.056594863534</v>
      </c>
    </row>
    <row r="110" spans="1:6" x14ac:dyDescent="0.25">
      <c r="A110" s="7">
        <v>4011</v>
      </c>
      <c r="B110" s="2">
        <v>19045</v>
      </c>
      <c r="C110" s="1">
        <f>(teraterm[[#This Row],[Value(V)]]+$K$2)*$S$2</f>
        <v>92.1895751953125</v>
      </c>
      <c r="D110" s="1">
        <f>(teraterm[[#This Row],[Column2]]-Q$4)*$S$3*1000</f>
        <v>7749.4303385416661</v>
      </c>
      <c r="E110" s="1">
        <f>IF(ABS(VALUE(teraterm[[#This Row],[Column1]]))&lt;4096,VALUE(teraterm[[#This Row],[Column1]]),0)</f>
        <v>4011</v>
      </c>
      <c r="F110" s="1">
        <f>teraterm[[#This Row],[V(V)]]^2</f>
        <v>8498.9177746921778</v>
      </c>
    </row>
    <row r="111" spans="1:6" x14ac:dyDescent="0.25">
      <c r="A111" s="7">
        <v>4029</v>
      </c>
      <c r="B111" s="2">
        <v>21768</v>
      </c>
      <c r="C111" s="1">
        <f>(teraterm[[#This Row],[Value(V)]]+$K$2)*$S$2</f>
        <v>93.8309326171875</v>
      </c>
      <c r="D111" s="1">
        <f>(teraterm[[#This Row],[Column2]]-Q$4)*$S$3*1000</f>
        <v>8857.421875</v>
      </c>
      <c r="E111" s="1">
        <f>IF(ABS(VALUE(teraterm[[#This Row],[Column1]]))&lt;4096,VALUE(teraterm[[#This Row],[Column1]]),0)</f>
        <v>4029</v>
      </c>
      <c r="F111" s="1">
        <f>teraterm[[#This Row],[V(V)]]^2</f>
        <v>8804.2439158111811</v>
      </c>
    </row>
    <row r="112" spans="1:6" x14ac:dyDescent="0.25">
      <c r="A112" s="7">
        <v>4041</v>
      </c>
      <c r="B112" s="2">
        <v>22950</v>
      </c>
      <c r="C112" s="1">
        <f>(teraterm[[#This Row],[Value(V)]]+$K$2)*$S$2</f>
        <v>94.9251708984375</v>
      </c>
      <c r="D112" s="1">
        <f>(teraterm[[#This Row],[Column2]]-Q$4)*$S$3*1000</f>
        <v>9338.37890625</v>
      </c>
      <c r="E112" s="1">
        <f>IF(ABS(VALUE(teraterm[[#This Row],[Column1]]))&lt;4096,VALUE(teraterm[[#This Row],[Column1]]),0)</f>
        <v>4041</v>
      </c>
      <c r="F112" s="1">
        <f>teraterm[[#This Row],[V(V)]]^2</f>
        <v>9010.7880700975657</v>
      </c>
    </row>
    <row r="113" spans="1:6" x14ac:dyDescent="0.25">
      <c r="A113" s="7">
        <v>4044</v>
      </c>
      <c r="B113" s="2">
        <v>21833</v>
      </c>
      <c r="C113" s="1">
        <f>(teraterm[[#This Row],[Value(V)]]+$K$2)*$S$2</f>
        <v>95.19873046875</v>
      </c>
      <c r="D113" s="1">
        <f>(teraterm[[#This Row],[Column2]]-Q$4)*$S$3*1000</f>
        <v>8883.8704427083321</v>
      </c>
      <c r="E113" s="1">
        <f>IF(ABS(VALUE(teraterm[[#This Row],[Column1]]))&lt;4096,VALUE(teraterm[[#This Row],[Column1]]),0)</f>
        <v>4044</v>
      </c>
      <c r="F113" s="1">
        <f>teraterm[[#This Row],[V(V)]]^2</f>
        <v>9062.7982828617096</v>
      </c>
    </row>
    <row r="114" spans="1:6" x14ac:dyDescent="0.25">
      <c r="A114" s="7">
        <v>4021</v>
      </c>
      <c r="B114" s="2">
        <v>14090</v>
      </c>
      <c r="C114" s="1">
        <f>(teraterm[[#This Row],[Value(V)]]+$K$2)*$S$2</f>
        <v>93.1014404296875</v>
      </c>
      <c r="D114" s="1">
        <f>(teraterm[[#This Row],[Column2]]-Q$4)*$S$3*1000</f>
        <v>5733.235677083333</v>
      </c>
      <c r="E114" s="1">
        <f>IF(ABS(VALUE(teraterm[[#This Row],[Column1]]))&lt;4096,VALUE(teraterm[[#This Row],[Column1]]),0)</f>
        <v>4021</v>
      </c>
      <c r="F114" s="1">
        <f>teraterm[[#This Row],[V(V)]]^2</f>
        <v>8667.8782100826502</v>
      </c>
    </row>
    <row r="115" spans="1:6" x14ac:dyDescent="0.25">
      <c r="A115" s="7">
        <v>3914</v>
      </c>
      <c r="B115" s="2">
        <v>-15043</v>
      </c>
      <c r="C115" s="1">
        <f>(teraterm[[#This Row],[Value(V)]]+$K$2)*$S$2</f>
        <v>83.344482421875</v>
      </c>
      <c r="D115" s="1">
        <f>(teraterm[[#This Row],[Column2]]-Q$4)*$S$3*1000</f>
        <v>-6121.0123697916661</v>
      </c>
      <c r="E115" s="1">
        <f>IF(ABS(VALUE(teraterm[[#This Row],[Column1]]))&lt;4096,VALUE(teraterm[[#This Row],[Column1]]),0)</f>
        <v>3914</v>
      </c>
      <c r="F115" s="1">
        <f>teraterm[[#This Row],[V(V)]]^2</f>
        <v>6946.3027501702309</v>
      </c>
    </row>
    <row r="116" spans="1:6" x14ac:dyDescent="0.25">
      <c r="A116" s="7">
        <v>3722</v>
      </c>
      <c r="B116" s="2">
        <v>-201</v>
      </c>
      <c r="C116" s="1">
        <f>(teraterm[[#This Row],[Value(V)]]+$K$2)*$S$2</f>
        <v>65.836669921875</v>
      </c>
      <c r="D116" s="1">
        <f>(teraterm[[#This Row],[Column2]]-Q$4)*$S$3*1000</f>
        <v>-81.787109374999986</v>
      </c>
      <c r="E116" s="1">
        <f>IF(ABS(VALUE(teraterm[[#This Row],[Column1]]))&lt;4096,VALUE(teraterm[[#This Row],[Column1]]),0)</f>
        <v>3722</v>
      </c>
      <c r="F116" s="1">
        <f>teraterm[[#This Row],[V(V)]]^2</f>
        <v>4334.4671064019203</v>
      </c>
    </row>
    <row r="117" spans="1:6" x14ac:dyDescent="0.25">
      <c r="A117" s="7">
        <v>3532</v>
      </c>
      <c r="B117" s="2">
        <v>15349</v>
      </c>
      <c r="C117" s="1">
        <f>(teraterm[[#This Row],[Value(V)]]+$K$2)*$S$2</f>
        <v>48.51123046875</v>
      </c>
      <c r="D117" s="1">
        <f>(teraterm[[#This Row],[Column2]]-Q$4)*$S$3*1000</f>
        <v>6245.5240885416661</v>
      </c>
      <c r="E117" s="1">
        <f>IF(ABS(VALUE(teraterm[[#This Row],[Column1]]))&lt;4096,VALUE(teraterm[[#This Row],[Column1]]),0)</f>
        <v>3532</v>
      </c>
      <c r="F117" s="1">
        <f>teraterm[[#This Row],[V(V)]]^2</f>
        <v>2353.3394815921783</v>
      </c>
    </row>
    <row r="118" spans="1:6" x14ac:dyDescent="0.25">
      <c r="A118" s="7">
        <v>3331</v>
      </c>
      <c r="B118" s="2">
        <v>28290</v>
      </c>
      <c r="C118" s="1">
        <f>(teraterm[[#This Row],[Value(V)]]+$K$2)*$S$2</f>
        <v>30.1827392578125</v>
      </c>
      <c r="D118" s="1">
        <f>(teraterm[[#This Row],[Column2]]-Q$4)*$S$3*1000</f>
        <v>11511.230468749998</v>
      </c>
      <c r="E118" s="1">
        <f>IF(ABS(VALUE(teraterm[[#This Row],[Column1]]))&lt;4096,VALUE(teraterm[[#This Row],[Column1]]),0)</f>
        <v>3331</v>
      </c>
      <c r="F118" s="1">
        <f>teraterm[[#This Row],[V(V)]]^2</f>
        <v>910.99774910509586</v>
      </c>
    </row>
    <row r="119" spans="1:6" x14ac:dyDescent="0.25">
      <c r="A119" s="7">
        <v>3093</v>
      </c>
      <c r="B119" s="2">
        <v>32001</v>
      </c>
      <c r="C119" s="1">
        <f>(teraterm[[#This Row],[Value(V)]]+$K$2)*$S$2</f>
        <v>8.4803466796875</v>
      </c>
      <c r="D119" s="1">
        <f>(teraterm[[#This Row],[Column2]]-Q$4)*$S$3*1000</f>
        <v>13021.240234374998</v>
      </c>
      <c r="E119" s="1">
        <f>IF(ABS(VALUE(teraterm[[#This Row],[Column1]]))&lt;4096,VALUE(teraterm[[#This Row],[Column1]]),0)</f>
        <v>3093</v>
      </c>
      <c r="F119" s="1">
        <f>teraterm[[#This Row],[V(V)]]^2</f>
        <v>71.916279807686806</v>
      </c>
    </row>
    <row r="120" spans="1:6" x14ac:dyDescent="0.25">
      <c r="A120" s="7">
        <v>2856</v>
      </c>
      <c r="B120" s="2">
        <v>-29328</v>
      </c>
      <c r="C120" s="1">
        <f>(teraterm[[#This Row],[Value(V)]]+$K$2)*$S$2</f>
        <v>-13.130859375</v>
      </c>
      <c r="D120" s="1">
        <f>(teraterm[[#This Row],[Column2]]-Q$4)*$S$3*1000</f>
        <v>-11933.593749999998</v>
      </c>
      <c r="E120" s="1">
        <f>IF(ABS(VALUE(teraterm[[#This Row],[Column1]]))&lt;4096,VALUE(teraterm[[#This Row],[Column1]]),0)</f>
        <v>2856</v>
      </c>
      <c r="F120" s="1">
        <f>teraterm[[#This Row],[V(V)]]^2</f>
        <v>172.41946792602539</v>
      </c>
    </row>
    <row r="121" spans="1:6" x14ac:dyDescent="0.25">
      <c r="A121" s="7">
        <v>2607</v>
      </c>
      <c r="B121" s="2">
        <v>-27941</v>
      </c>
      <c r="C121" s="1">
        <f>(teraterm[[#This Row],[Value(V)]]+$K$2)*$S$2</f>
        <v>-35.8363037109375</v>
      </c>
      <c r="D121" s="1">
        <f>(teraterm[[#This Row],[Column2]]-Q$4)*$S$3*1000</f>
        <v>-11369.222005208332</v>
      </c>
      <c r="E121" s="1">
        <f>IF(ABS(VALUE(teraterm[[#This Row],[Column1]]))&lt;4096,VALUE(teraterm[[#This Row],[Column1]]),0)</f>
        <v>2607</v>
      </c>
      <c r="F121" s="1">
        <f>teraterm[[#This Row],[V(V)]]^2</f>
        <v>1284.2406636625528</v>
      </c>
    </row>
    <row r="122" spans="1:6" x14ac:dyDescent="0.25">
      <c r="A122" s="7">
        <v>2328</v>
      </c>
      <c r="B122" s="2">
        <v>31583</v>
      </c>
      <c r="C122" s="1">
        <f>(teraterm[[#This Row],[Value(V)]]+$K$2)*$S$2</f>
        <v>-61.27734375</v>
      </c>
      <c r="D122" s="1">
        <f>(teraterm[[#This Row],[Column2]]-Q$4)*$S$3*1000</f>
        <v>12851.155598958332</v>
      </c>
      <c r="E122" s="1">
        <f>IF(ABS(VALUE(teraterm[[#This Row],[Column1]]))&lt;4096,VALUE(teraterm[[#This Row],[Column1]]),0)</f>
        <v>2328</v>
      </c>
      <c r="F122" s="1">
        <f>teraterm[[#This Row],[V(V)]]^2</f>
        <v>3754.9128570556641</v>
      </c>
    </row>
    <row r="123" spans="1:6" x14ac:dyDescent="0.25">
      <c r="A123" s="7">
        <v>2044</v>
      </c>
      <c r="B123" s="2">
        <v>24575</v>
      </c>
      <c r="C123" s="1">
        <f>(teraterm[[#This Row],[Value(V)]]+$K$2)*$S$2</f>
        <v>-87.17431640625</v>
      </c>
      <c r="D123" s="1">
        <f>(teraterm[[#This Row],[Column2]]-Q$4)*$S$3*1000</f>
        <v>9999.5930989583321</v>
      </c>
      <c r="E123" s="1">
        <f>IF(ABS(VALUE(teraterm[[#This Row],[Column1]]))&lt;4096,VALUE(teraterm[[#This Row],[Column1]]),0)</f>
        <v>2044</v>
      </c>
      <c r="F123" s="1">
        <f>teraterm[[#This Row],[V(V)]]^2</f>
        <v>7599.3614408969879</v>
      </c>
    </row>
    <row r="124" spans="1:6" x14ac:dyDescent="0.25">
      <c r="A124" s="7">
        <v>1783</v>
      </c>
      <c r="B124" s="2">
        <v>23716</v>
      </c>
      <c r="C124" s="1">
        <f>(teraterm[[#This Row],[Value(V)]]+$K$2)*$S$2</f>
        <v>-110.9739990234375</v>
      </c>
      <c r="D124" s="1">
        <f>(teraterm[[#This Row],[Column2]]-Q$4)*$S$3*1000</f>
        <v>9650.0651041666661</v>
      </c>
      <c r="E124" s="1">
        <f>IF(ABS(VALUE(teraterm[[#This Row],[Column1]]))&lt;4096,VALUE(teraterm[[#This Row],[Column1]]),0)</f>
        <v>1783</v>
      </c>
      <c r="F124" s="1">
        <f>teraterm[[#This Row],[V(V)]]^2</f>
        <v>12315.228459253907</v>
      </c>
    </row>
    <row r="125" spans="1:6" x14ac:dyDescent="0.25">
      <c r="A125" s="7">
        <v>1527</v>
      </c>
      <c r="B125" s="2">
        <v>24391</v>
      </c>
      <c r="C125" s="1">
        <f>(teraterm[[#This Row],[Value(V)]]+$K$2)*$S$2</f>
        <v>-134.3177490234375</v>
      </c>
      <c r="D125" s="1">
        <f>(teraterm[[#This Row],[Column2]]-Q$4)*$S$3*1000</f>
        <v>9924.7233072916661</v>
      </c>
      <c r="E125" s="1">
        <f>IF(ABS(VALUE(teraterm[[#This Row],[Column1]]))&lt;4096,VALUE(teraterm[[#This Row],[Column1]]),0)</f>
        <v>1527</v>
      </c>
      <c r="F125" s="1">
        <f>teraterm[[#This Row],[V(V)]]^2</f>
        <v>18041.257702723145</v>
      </c>
    </row>
    <row r="126" spans="1:6" x14ac:dyDescent="0.25">
      <c r="A126" s="7">
        <v>1272</v>
      </c>
      <c r="B126" s="2">
        <v>25574</v>
      </c>
      <c r="C126" s="1">
        <f>(teraterm[[#This Row],[Value(V)]]+$K$2)*$S$2</f>
        <v>-157.5703125</v>
      </c>
      <c r="D126" s="1">
        <f>(teraterm[[#This Row],[Column2]]-Q$4)*$S$3*1000</f>
        <v>10406.087239583332</v>
      </c>
      <c r="E126" s="1">
        <f>IF(ABS(VALUE(teraterm[[#This Row],[Column1]]))&lt;4096,VALUE(teraterm[[#This Row],[Column1]]),0)</f>
        <v>1272</v>
      </c>
      <c r="F126" s="1">
        <f>teraterm[[#This Row],[V(V)]]^2</f>
        <v>24828.403381347656</v>
      </c>
    </row>
    <row r="127" spans="1:6" x14ac:dyDescent="0.25">
      <c r="A127" s="7">
        <v>1038</v>
      </c>
      <c r="B127" s="2">
        <v>32364</v>
      </c>
      <c r="C127" s="1">
        <f>(teraterm[[#This Row],[Value(V)]]+$K$2)*$S$2</f>
        <v>-178.907958984375</v>
      </c>
      <c r="D127" s="1">
        <f>(teraterm[[#This Row],[Column2]]-Q$4)*$S$3*1000</f>
        <v>13168.945312499998</v>
      </c>
      <c r="E127" s="1">
        <f>IF(ABS(VALUE(teraterm[[#This Row],[Column1]]))&lt;4096,VALUE(teraterm[[#This Row],[Column1]]),0)</f>
        <v>1038</v>
      </c>
      <c r="F127" s="1">
        <f>teraterm[[#This Row],[V(V)]]^2</f>
        <v>32008.057787954807</v>
      </c>
    </row>
    <row r="128" spans="1:6" x14ac:dyDescent="0.25">
      <c r="A128" s="7">
        <v>1150</v>
      </c>
      <c r="B128" s="2">
        <v>18177</v>
      </c>
      <c r="C128" s="1">
        <f>(teraterm[[#This Row],[Value(V)]]+$K$2)*$S$2</f>
        <v>-168.695068359375</v>
      </c>
      <c r="D128" s="1">
        <f>(teraterm[[#This Row],[Column2]]-Q$4)*$S$3*1000</f>
        <v>7396.2402343749991</v>
      </c>
      <c r="E128" s="1">
        <f>IF(ABS(VALUE(teraterm[[#This Row],[Column1]]))&lt;4096,VALUE(teraterm[[#This Row],[Column1]]),0)</f>
        <v>1150</v>
      </c>
      <c r="F128" s="1">
        <f>teraterm[[#This Row],[V(V)]]^2</f>
        <v>28458.026088774204</v>
      </c>
    </row>
    <row r="129" spans="1:6" x14ac:dyDescent="0.25">
      <c r="A129" s="7">
        <v>1398</v>
      </c>
      <c r="B129" s="2">
        <v>16833</v>
      </c>
      <c r="C129" s="1">
        <f>(teraterm[[#This Row],[Value(V)]]+$K$2)*$S$2</f>
        <v>-146.080810546875</v>
      </c>
      <c r="D129" s="1">
        <f>(teraterm[[#This Row],[Column2]]-Q$4)*$S$3*1000</f>
        <v>6849.3652343749991</v>
      </c>
      <c r="E129" s="1">
        <f>IF(ABS(VALUE(teraterm[[#This Row],[Column1]]))&lt;4096,VALUE(teraterm[[#This Row],[Column1]]),0)</f>
        <v>1398</v>
      </c>
      <c r="F129" s="1">
        <f>teraterm[[#This Row],[V(V)]]^2</f>
        <v>21339.603210031986</v>
      </c>
    </row>
    <row r="130" spans="1:6" x14ac:dyDescent="0.25">
      <c r="A130" s="7">
        <v>1644</v>
      </c>
      <c r="B130" s="2">
        <v>14729</v>
      </c>
      <c r="C130" s="1">
        <f>(teraterm[[#This Row],[Value(V)]]+$K$2)*$S$2</f>
        <v>-123.64892578125</v>
      </c>
      <c r="D130" s="1">
        <f>(teraterm[[#This Row],[Column2]]-Q$4)*$S$3*1000</f>
        <v>5993.245442708333</v>
      </c>
      <c r="E130" s="1">
        <f>IF(ABS(VALUE(teraterm[[#This Row],[Column1]]))&lt;4096,VALUE(teraterm[[#This Row],[Column1]]),0)</f>
        <v>1644</v>
      </c>
      <c r="F130" s="1">
        <f>teraterm[[#This Row],[V(V)]]^2</f>
        <v>15289.056846857071</v>
      </c>
    </row>
    <row r="131" spans="1:6" x14ac:dyDescent="0.25">
      <c r="A131" s="7">
        <v>1913</v>
      </c>
      <c r="B131" s="2">
        <v>18242</v>
      </c>
      <c r="C131" s="1">
        <f>(teraterm[[#This Row],[Value(V)]]+$K$2)*$S$2</f>
        <v>-99.1197509765625</v>
      </c>
      <c r="D131" s="1">
        <f>(teraterm[[#This Row],[Column2]]-Q$4)*$S$3*1000</f>
        <v>7422.688802083333</v>
      </c>
      <c r="E131" s="1">
        <f>IF(ABS(VALUE(teraterm[[#This Row],[Column1]]))&lt;4096,VALUE(teraterm[[#This Row],[Column1]]),0)</f>
        <v>1913</v>
      </c>
      <c r="F131" s="1">
        <f>teraterm[[#This Row],[V(V)]]^2</f>
        <v>9824.7250336557627</v>
      </c>
    </row>
    <row r="132" spans="1:6" x14ac:dyDescent="0.25">
      <c r="A132" s="7">
        <v>2198</v>
      </c>
      <c r="B132" s="2">
        <v>25565</v>
      </c>
      <c r="C132" s="1">
        <f>(teraterm[[#This Row],[Value(V)]]+$K$2)*$S$2</f>
        <v>-73.131591796875</v>
      </c>
      <c r="D132" s="1">
        <f>(teraterm[[#This Row],[Column2]]-Q$4)*$S$3*1000</f>
        <v>10402.425130208332</v>
      </c>
      <c r="E132" s="1">
        <f>IF(ABS(VALUE(teraterm[[#This Row],[Column1]]))&lt;4096,VALUE(teraterm[[#This Row],[Column1]]),0)</f>
        <v>2198</v>
      </c>
      <c r="F132" s="1">
        <f>teraterm[[#This Row],[V(V)]]^2</f>
        <v>5348.2297187447548</v>
      </c>
    </row>
    <row r="133" spans="1:6" x14ac:dyDescent="0.25">
      <c r="A133" s="7">
        <v>2468</v>
      </c>
      <c r="B133" s="2">
        <v>28779</v>
      </c>
      <c r="C133" s="1">
        <f>(teraterm[[#This Row],[Value(V)]]+$K$2)*$S$2</f>
        <v>-48.51123046875</v>
      </c>
      <c r="D133" s="1">
        <f>(teraterm[[#This Row],[Column2]]-Q$4)*$S$3*1000</f>
        <v>11710.205078124998</v>
      </c>
      <c r="E133" s="1">
        <f>IF(ABS(VALUE(teraterm[[#This Row],[Column1]]))&lt;4096,VALUE(teraterm[[#This Row],[Column1]]),0)</f>
        <v>2468</v>
      </c>
      <c r="F133" s="1">
        <f>teraterm[[#This Row],[V(V)]]^2</f>
        <v>2353.3394815921783</v>
      </c>
    </row>
    <row r="134" spans="1:6" x14ac:dyDescent="0.25">
      <c r="A134" s="7">
        <v>2711</v>
      </c>
      <c r="B134" s="2">
        <v>24839</v>
      </c>
      <c r="C134" s="1">
        <f>(teraterm[[#This Row],[Value(V)]]+$K$2)*$S$2</f>
        <v>-26.3529052734375</v>
      </c>
      <c r="D134" s="1">
        <f>(teraterm[[#This Row],[Column2]]-Q$4)*$S$3*1000</f>
        <v>10107.014973958332</v>
      </c>
      <c r="E134" s="1">
        <f>IF(ABS(VALUE(teraterm[[#This Row],[Column1]]))&lt;4096,VALUE(teraterm[[#This Row],[Column1]]),0)</f>
        <v>2711</v>
      </c>
      <c r="F134" s="1">
        <f>teraterm[[#This Row],[V(V)]]^2</f>
        <v>694.47561635077</v>
      </c>
    </row>
    <row r="135" spans="1:6" x14ac:dyDescent="0.25">
      <c r="A135" s="7">
        <v>2958</v>
      </c>
      <c r="B135" s="2">
        <v>21678</v>
      </c>
      <c r="C135" s="1">
        <f>(teraterm[[#This Row],[Value(V)]]+$K$2)*$S$2</f>
        <v>-3.829833984375</v>
      </c>
      <c r="D135" s="1">
        <f>(teraterm[[#This Row],[Column2]]-Q$4)*$S$3*1000</f>
        <v>8820.80078125</v>
      </c>
      <c r="E135" s="1">
        <f>IF(ABS(VALUE(teraterm[[#This Row],[Column1]]))&lt;4096,VALUE(teraterm[[#This Row],[Column1]]),0)</f>
        <v>2958</v>
      </c>
      <c r="F135" s="1">
        <f>teraterm[[#This Row],[V(V)]]^2</f>
        <v>14.667628347873688</v>
      </c>
    </row>
    <row r="136" spans="1:6" x14ac:dyDescent="0.25">
      <c r="A136" s="7">
        <v>3189</v>
      </c>
      <c r="B136" s="2">
        <v>14194</v>
      </c>
      <c r="C136" s="1">
        <f>(teraterm[[#This Row],[Value(V)]]+$K$2)*$S$2</f>
        <v>17.2342529296875</v>
      </c>
      <c r="D136" s="1">
        <f>(teraterm[[#This Row],[Column2]]-Q$4)*$S$3*1000</f>
        <v>5775.5533854166661</v>
      </c>
      <c r="E136" s="1">
        <f>IF(ABS(VALUE(teraterm[[#This Row],[Column1]]))&lt;4096,VALUE(teraterm[[#This Row],[Column1]]),0)</f>
        <v>3189</v>
      </c>
      <c r="F136" s="1">
        <f>teraterm[[#This Row],[V(V)]]^2</f>
        <v>297.01947404444218</v>
      </c>
    </row>
    <row r="137" spans="1:6" x14ac:dyDescent="0.25">
      <c r="A137" s="7">
        <v>3403</v>
      </c>
      <c r="B137" s="2">
        <v>2148</v>
      </c>
      <c r="C137" s="1">
        <f>(teraterm[[#This Row],[Value(V)]]+$K$2)*$S$2</f>
        <v>36.7481689453125</v>
      </c>
      <c r="D137" s="1">
        <f>(teraterm[[#This Row],[Column2]]-Q$4)*$S$3*1000</f>
        <v>874.02343749999989</v>
      </c>
      <c r="E137" s="1">
        <f>IF(ABS(VALUE(teraterm[[#This Row],[Column1]]))&lt;4096,VALUE(teraterm[[#This Row],[Column1]]),0)</f>
        <v>3403</v>
      </c>
      <c r="F137" s="1">
        <f>teraterm[[#This Row],[V(V)]]^2</f>
        <v>1350.42792083323</v>
      </c>
    </row>
    <row r="138" spans="1:6" x14ac:dyDescent="0.25">
      <c r="A138" s="7">
        <v>3607</v>
      </c>
      <c r="B138" s="2">
        <v>-12657</v>
      </c>
      <c r="C138" s="1">
        <f>(teraterm[[#This Row],[Value(V)]]+$K$2)*$S$2</f>
        <v>55.3502197265625</v>
      </c>
      <c r="D138" s="1">
        <f>(teraterm[[#This Row],[Column2]]-Q$4)*$S$3*1000</f>
        <v>-5150.1464843749991</v>
      </c>
      <c r="E138" s="1">
        <f>IF(ABS(VALUE(teraterm[[#This Row],[Column1]]))&lt;4096,VALUE(teraterm[[#This Row],[Column1]]),0)</f>
        <v>3607</v>
      </c>
      <c r="F138" s="1">
        <f>teraterm[[#This Row],[V(V)]]^2</f>
        <v>3063.6468237787485</v>
      </c>
    </row>
    <row r="139" spans="1:6" x14ac:dyDescent="0.25">
      <c r="A139" s="7">
        <v>3770</v>
      </c>
      <c r="B139" s="2">
        <v>27421</v>
      </c>
      <c r="C139" s="1">
        <f>(teraterm[[#This Row],[Value(V)]]+$K$2)*$S$2</f>
        <v>70.213623046875</v>
      </c>
      <c r="D139" s="1">
        <f>(teraterm[[#This Row],[Column2]]-Q$4)*$S$3*1000</f>
        <v>11157.633463541666</v>
      </c>
      <c r="E139" s="1">
        <f>IF(ABS(VALUE(teraterm[[#This Row],[Column1]]))&lt;4096,VALUE(teraterm[[#This Row],[Column1]]),0)</f>
        <v>3770</v>
      </c>
      <c r="F139" s="1">
        <f>teraterm[[#This Row],[V(V)]]^2</f>
        <v>4929.9528613686562</v>
      </c>
    </row>
    <row r="140" spans="1:6" x14ac:dyDescent="0.25">
      <c r="A140" s="7">
        <v>3902</v>
      </c>
      <c r="B140" s="2">
        <v>-6099</v>
      </c>
      <c r="C140" s="1">
        <f>(teraterm[[#This Row],[Value(V)]]+$K$2)*$S$2</f>
        <v>82.250244140625</v>
      </c>
      <c r="D140" s="1">
        <f>(teraterm[[#This Row],[Column2]]-Q$4)*$S$3*1000</f>
        <v>-2481.689453125</v>
      </c>
      <c r="E140" s="1">
        <f>IF(ABS(VALUE(teraterm[[#This Row],[Column1]]))&lt;4096,VALUE(teraterm[[#This Row],[Column1]]),0)</f>
        <v>3902</v>
      </c>
      <c r="F140" s="1">
        <f>teraterm[[#This Row],[V(V)]]^2</f>
        <v>6765.1026611924171</v>
      </c>
    </row>
    <row r="141" spans="1:6" x14ac:dyDescent="0.25">
      <c r="A141" s="7">
        <v>3988</v>
      </c>
      <c r="B141" s="2">
        <v>14062</v>
      </c>
      <c r="C141" s="1">
        <f>(teraterm[[#This Row],[Value(V)]]+$K$2)*$S$2</f>
        <v>90.09228515625</v>
      </c>
      <c r="D141" s="1">
        <f>(teraterm[[#This Row],[Column2]]-Q$4)*$S$3*1000</f>
        <v>5721.8424479166661</v>
      </c>
      <c r="E141" s="1">
        <f>IF(ABS(VALUE(teraterm[[#This Row],[Column1]]))&lt;4096,VALUE(teraterm[[#This Row],[Column1]]),0)</f>
        <v>3988</v>
      </c>
      <c r="F141" s="1">
        <f>teraterm[[#This Row],[V(V)]]^2</f>
        <v>8116.6198446750641</v>
      </c>
    </row>
    <row r="142" spans="1:6" x14ac:dyDescent="0.25">
      <c r="A142" s="7">
        <v>4019</v>
      </c>
      <c r="B142" s="2">
        <v>20120</v>
      </c>
      <c r="C142" s="1">
        <f>(teraterm[[#This Row],[Value(V)]]+$K$2)*$S$2</f>
        <v>92.9190673828125</v>
      </c>
      <c r="D142" s="1">
        <f>(teraterm[[#This Row],[Column2]]-Q$4)*$S$3*1000</f>
        <v>8186.8489583333321</v>
      </c>
      <c r="E142" s="1">
        <f>IF(ABS(VALUE(teraterm[[#This Row],[Column1]]))&lt;4096,VALUE(teraterm[[#This Row],[Column1]]),0)</f>
        <v>4019</v>
      </c>
      <c r="F142" s="1">
        <f>teraterm[[#This Row],[V(V)]]^2</f>
        <v>8633.9530832916498</v>
      </c>
    </row>
    <row r="143" spans="1:6" x14ac:dyDescent="0.25">
      <c r="A143" s="7">
        <v>4036</v>
      </c>
      <c r="B143" s="2">
        <v>22584</v>
      </c>
      <c r="C143" s="1">
        <f>(teraterm[[#This Row],[Value(V)]]+$K$2)*$S$2</f>
        <v>94.46923828125</v>
      </c>
      <c r="D143" s="1">
        <f>(teraterm[[#This Row],[Column2]]-Q$4)*$S$3*1000</f>
        <v>9189.453125</v>
      </c>
      <c r="E143" s="1">
        <f>IF(ABS(VALUE(teraterm[[#This Row],[Column1]]))&lt;4096,VALUE(teraterm[[#This Row],[Column1]]),0)</f>
        <v>4036</v>
      </c>
      <c r="F143" s="1">
        <f>teraterm[[#This Row],[V(V)]]^2</f>
        <v>8924.4369814395905</v>
      </c>
    </row>
    <row r="144" spans="1:6" x14ac:dyDescent="0.25">
      <c r="A144" s="7">
        <v>4045</v>
      </c>
      <c r="B144" s="2">
        <v>22998</v>
      </c>
      <c r="C144" s="1">
        <f>(teraterm[[#This Row],[Value(V)]]+$K$2)*$S$2</f>
        <v>95.2899169921875</v>
      </c>
      <c r="D144" s="1">
        <f>(teraterm[[#This Row],[Column2]]-Q$4)*$S$3*1000</f>
        <v>9357.91015625</v>
      </c>
      <c r="E144" s="1">
        <f>IF(ABS(VALUE(teraterm[[#This Row],[Column1]]))&lt;4096,VALUE(teraterm[[#This Row],[Column1]]),0)</f>
        <v>4045</v>
      </c>
      <c r="F144" s="1">
        <f>teraterm[[#This Row],[V(V)]]^2</f>
        <v>9080.168280377984</v>
      </c>
    </row>
    <row r="145" spans="1:6" x14ac:dyDescent="0.25">
      <c r="A145" s="7">
        <v>4043</v>
      </c>
      <c r="B145" s="2">
        <v>20606</v>
      </c>
      <c r="C145" s="1">
        <f>(teraterm[[#This Row],[Value(V)]]+$K$2)*$S$2</f>
        <v>95.1075439453125</v>
      </c>
      <c r="D145" s="1">
        <f>(teraterm[[#This Row],[Column2]]-Q$4)*$S$3*1000</f>
        <v>8384.6028645833321</v>
      </c>
      <c r="E145" s="1">
        <f>IF(ABS(VALUE(teraterm[[#This Row],[Column1]]))&lt;4096,VALUE(teraterm[[#This Row],[Column1]]),0)</f>
        <v>4043</v>
      </c>
      <c r="F145" s="1">
        <f>teraterm[[#This Row],[V(V)]]^2</f>
        <v>9045.4449153095484</v>
      </c>
    </row>
    <row r="146" spans="1:6" x14ac:dyDescent="0.25">
      <c r="A146" s="7">
        <v>3995</v>
      </c>
      <c r="B146" s="2">
        <v>6493</v>
      </c>
      <c r="C146" s="1">
        <f>(teraterm[[#This Row],[Value(V)]]+$K$2)*$S$2</f>
        <v>90.7305908203125</v>
      </c>
      <c r="D146" s="1">
        <f>(teraterm[[#This Row],[Column2]]-Q$4)*$S$3*1000</f>
        <v>2642.0084635416665</v>
      </c>
      <c r="E146" s="1">
        <f>IF(ABS(VALUE(teraterm[[#This Row],[Column1]]))&lt;4096,VALUE(teraterm[[#This Row],[Column1]]),0)</f>
        <v>3995</v>
      </c>
      <c r="F146" s="1">
        <f>teraterm[[#This Row],[V(V)]]^2</f>
        <v>8232.0401106029749</v>
      </c>
    </row>
    <row r="147" spans="1:6" x14ac:dyDescent="0.25">
      <c r="A147" s="7">
        <v>3857</v>
      </c>
      <c r="B147" s="2">
        <v>-30515</v>
      </c>
      <c r="C147" s="1">
        <f>(teraterm[[#This Row],[Value(V)]]+$K$2)*$S$2</f>
        <v>78.1468505859375</v>
      </c>
      <c r="D147" s="1">
        <f>(teraterm[[#This Row],[Column2]]-Q$4)*$S$3*1000</f>
        <v>-12416.585286458332</v>
      </c>
      <c r="E147" s="1">
        <f>IF(ABS(VALUE(teraterm[[#This Row],[Column1]]))&lt;4096,VALUE(teraterm[[#This Row],[Column1]]),0)</f>
        <v>3857</v>
      </c>
      <c r="F147" s="1">
        <f>teraterm[[#This Row],[V(V)]]^2</f>
        <v>6106.9302565008402</v>
      </c>
    </row>
    <row r="148" spans="1:6" x14ac:dyDescent="0.25">
      <c r="A148" s="7">
        <v>3663</v>
      </c>
      <c r="B148" s="2">
        <v>-16122</v>
      </c>
      <c r="C148" s="1">
        <f>(teraterm[[#This Row],[Value(V)]]+$K$2)*$S$2</f>
        <v>60.4566650390625</v>
      </c>
      <c r="D148" s="1">
        <f>(teraterm[[#This Row],[Column2]]-Q$4)*$S$3*1000</f>
        <v>-6560.0585937499991</v>
      </c>
      <c r="E148" s="1">
        <f>IF(ABS(VALUE(teraterm[[#This Row],[Column1]]))&lt;4096,VALUE(teraterm[[#This Row],[Column1]]),0)</f>
        <v>3663</v>
      </c>
      <c r="F148" s="1">
        <f>teraterm[[#This Row],[V(V)]]^2</f>
        <v>3655.008347645402</v>
      </c>
    </row>
    <row r="149" spans="1:6" x14ac:dyDescent="0.25">
      <c r="A149" s="7">
        <v>3474</v>
      </c>
      <c r="B149" s="2">
        <v>-255</v>
      </c>
      <c r="C149" s="1">
        <f>(teraterm[[#This Row],[Value(V)]]+$K$2)*$S$2</f>
        <v>43.222412109375</v>
      </c>
      <c r="D149" s="1">
        <f>(teraterm[[#This Row],[Column2]]-Q$4)*$S$3*1000</f>
        <v>-103.75976562499999</v>
      </c>
      <c r="E149" s="1">
        <f>IF(ABS(VALUE(teraterm[[#This Row],[Column1]]))&lt;4096,VALUE(teraterm[[#This Row],[Column1]]),0)</f>
        <v>3474</v>
      </c>
      <c r="F149" s="1">
        <f>teraterm[[#This Row],[V(V)]]^2</f>
        <v>1868.1769085526466</v>
      </c>
    </row>
    <row r="150" spans="1:6" x14ac:dyDescent="0.25">
      <c r="A150" s="7">
        <v>3262</v>
      </c>
      <c r="B150" s="2">
        <v>9941</v>
      </c>
      <c r="C150" s="1">
        <f>(teraterm[[#This Row],[Value(V)]]+$K$2)*$S$2</f>
        <v>23.890869140625</v>
      </c>
      <c r="D150" s="1">
        <f>(teraterm[[#This Row],[Column2]]-Q$4)*$S$3*1000</f>
        <v>4045.003255208333</v>
      </c>
      <c r="E150" s="1">
        <f>IF(ABS(VALUE(teraterm[[#This Row],[Column1]]))&lt;4096,VALUE(teraterm[[#This Row],[Column1]]),0)</f>
        <v>3262</v>
      </c>
      <c r="F150" s="1">
        <f>teraterm[[#This Row],[V(V)]]^2</f>
        <v>570.77362829446793</v>
      </c>
    </row>
    <row r="151" spans="1:6" x14ac:dyDescent="0.25">
      <c r="A151" s="7">
        <v>3021</v>
      </c>
      <c r="B151" s="2">
        <v>12959</v>
      </c>
      <c r="C151" s="1">
        <f>(teraterm[[#This Row],[Value(V)]]+$K$2)*$S$2</f>
        <v>1.9149169921875</v>
      </c>
      <c r="D151" s="1">
        <f>(teraterm[[#This Row],[Column2]]-Q$4)*$S$3*1000</f>
        <v>5273.030598958333</v>
      </c>
      <c r="E151" s="1">
        <f>IF(ABS(VALUE(teraterm[[#This Row],[Column1]]))&lt;4096,VALUE(teraterm[[#This Row],[Column1]]),0)</f>
        <v>3021</v>
      </c>
      <c r="F151" s="1">
        <f>teraterm[[#This Row],[V(V)]]^2</f>
        <v>3.6669070869684219</v>
      </c>
    </row>
    <row r="152" spans="1:6" x14ac:dyDescent="0.25">
      <c r="A152" s="7">
        <v>2782</v>
      </c>
      <c r="B152" s="2">
        <v>16731</v>
      </c>
      <c r="C152" s="1">
        <f>(teraterm[[#This Row],[Value(V)]]+$K$2)*$S$2</f>
        <v>-19.878662109375</v>
      </c>
      <c r="D152" s="1">
        <f>(teraterm[[#This Row],[Column2]]-Q$4)*$S$3*1000</f>
        <v>6807.8613281249991</v>
      </c>
      <c r="E152" s="1">
        <f>IF(ABS(VALUE(teraterm[[#This Row],[Column1]]))&lt;4096,VALUE(teraterm[[#This Row],[Column1]]),0)</f>
        <v>2782</v>
      </c>
      <c r="F152" s="1">
        <f>teraterm[[#This Row],[V(V)]]^2</f>
        <v>395.16120725870132</v>
      </c>
    </row>
    <row r="153" spans="1:6" x14ac:dyDescent="0.25">
      <c r="A153" s="7">
        <v>2525</v>
      </c>
      <c r="B153" s="2">
        <v>16154</v>
      </c>
      <c r="C153" s="1">
        <f>(teraterm[[#This Row],[Value(V)]]+$K$2)*$S$2</f>
        <v>-43.3135986328125</v>
      </c>
      <c r="D153" s="1">
        <f>(teraterm[[#This Row],[Column2]]-Q$4)*$S$3*1000</f>
        <v>6573.079427083333</v>
      </c>
      <c r="E153" s="1">
        <f>IF(ABS(VALUE(teraterm[[#This Row],[Column1]]))&lt;4096,VALUE(teraterm[[#This Row],[Column1]]),0)</f>
        <v>2525</v>
      </c>
      <c r="F153" s="1">
        <f>teraterm[[#This Row],[V(V)]]^2</f>
        <v>1876.0678265243769</v>
      </c>
    </row>
    <row r="154" spans="1:6" x14ac:dyDescent="0.25">
      <c r="A154" s="7">
        <v>2240</v>
      </c>
      <c r="B154" s="2">
        <v>8695</v>
      </c>
      <c r="C154" s="1">
        <f>(teraterm[[#This Row],[Value(V)]]+$K$2)*$S$2</f>
        <v>-69.3017578125</v>
      </c>
      <c r="D154" s="1">
        <f>(teraterm[[#This Row],[Column2]]-Q$4)*$S$3*1000</f>
        <v>3538.0045572916665</v>
      </c>
      <c r="E154" s="1">
        <f>IF(ABS(VALUE(teraterm[[#This Row],[Column1]]))&lt;4096,VALUE(teraterm[[#This Row],[Column1]]),0)</f>
        <v>2240</v>
      </c>
      <c r="F154" s="1">
        <f>teraterm[[#This Row],[V(V)]]^2</f>
        <v>4802.7336359024048</v>
      </c>
    </row>
    <row r="155" spans="1:6" x14ac:dyDescent="0.25">
      <c r="A155" s="7">
        <v>1958</v>
      </c>
      <c r="B155" s="2">
        <v>2287</v>
      </c>
      <c r="C155" s="1">
        <f>(teraterm[[#This Row],[Value(V)]]+$K$2)*$S$2</f>
        <v>-95.016357421875</v>
      </c>
      <c r="D155" s="1">
        <f>(teraterm[[#This Row],[Column2]]-Q$4)*$S$3*1000</f>
        <v>930.58268229166663</v>
      </c>
      <c r="E155" s="1">
        <f>IF(ABS(VALUE(teraterm[[#This Row],[Column1]]))&lt;4096,VALUE(teraterm[[#This Row],[Column1]]),0)</f>
        <v>1958</v>
      </c>
      <c r="F155" s="1">
        <f>teraterm[[#This Row],[V(V)]]^2</f>
        <v>9028.1081777215004</v>
      </c>
    </row>
    <row r="156" spans="1:6" x14ac:dyDescent="0.25">
      <c r="A156" s="7">
        <v>1708</v>
      </c>
      <c r="B156" s="2">
        <v>4320</v>
      </c>
      <c r="C156" s="1">
        <f>(teraterm[[#This Row],[Value(V)]]+$K$2)*$S$2</f>
        <v>-117.81298828125</v>
      </c>
      <c r="D156" s="1">
        <f>(teraterm[[#This Row],[Column2]]-Q$4)*$S$3*1000</f>
        <v>1757.8124999999998</v>
      </c>
      <c r="E156" s="1">
        <f>IF(ABS(VALUE(teraterm[[#This Row],[Column1]]))&lt;4096,VALUE(teraterm[[#This Row],[Column1]]),0)</f>
        <v>1708</v>
      </c>
      <c r="F156" s="1">
        <f>teraterm[[#This Row],[V(V)]]^2</f>
        <v>13879.90020775795</v>
      </c>
    </row>
    <row r="157" spans="1:6" x14ac:dyDescent="0.25">
      <c r="A157" s="7">
        <v>1449</v>
      </c>
      <c r="B157" s="2">
        <v>4306</v>
      </c>
      <c r="C157" s="1">
        <f>(teraterm[[#This Row],[Value(V)]]+$K$2)*$S$2</f>
        <v>-141.4302978515625</v>
      </c>
      <c r="D157" s="1">
        <f>(teraterm[[#This Row],[Column2]]-Q$4)*$S$3*1000</f>
        <v>1752.1158854166665</v>
      </c>
      <c r="E157" s="1">
        <f>IF(ABS(VALUE(teraterm[[#This Row],[Column1]]))&lt;4096,VALUE(teraterm[[#This Row],[Column1]]),0)</f>
        <v>1449</v>
      </c>
      <c r="F157" s="1">
        <f>teraterm[[#This Row],[V(V)]]^2</f>
        <v>20002.529150381684</v>
      </c>
    </row>
    <row r="158" spans="1:6" x14ac:dyDescent="0.25">
      <c r="A158" s="7">
        <v>1197</v>
      </c>
      <c r="B158" s="2">
        <v>6333</v>
      </c>
      <c r="C158" s="1">
        <f>(teraterm[[#This Row],[Value(V)]]+$K$2)*$S$2</f>
        <v>-164.4093017578125</v>
      </c>
      <c r="D158" s="1">
        <f>(teraterm[[#This Row],[Column2]]-Q$4)*$S$3*1000</f>
        <v>2576.9042968749995</v>
      </c>
      <c r="E158" s="1">
        <f>IF(ABS(VALUE(teraterm[[#This Row],[Column1]]))&lt;4096,VALUE(teraterm[[#This Row],[Column1]]),0)</f>
        <v>1197</v>
      </c>
      <c r="F158" s="1">
        <f>teraterm[[#This Row],[V(V)]]^2</f>
        <v>27030.418504491448</v>
      </c>
    </row>
    <row r="159" spans="1:6" x14ac:dyDescent="0.25">
      <c r="A159" s="7">
        <v>969</v>
      </c>
      <c r="B159" s="2">
        <v>14728</v>
      </c>
      <c r="C159" s="1">
        <f>(teraterm[[#This Row],[Value(V)]]+$K$2)*$S$2</f>
        <v>-185.1998291015625</v>
      </c>
      <c r="D159" s="1">
        <f>(teraterm[[#This Row],[Column2]]-Q$4)*$S$3*1000</f>
        <v>5992.8385416666661</v>
      </c>
      <c r="E159" s="1">
        <f>IF(ABS(VALUE(teraterm[[#This Row],[Column1]]))&lt;4096,VALUE(teraterm[[#This Row],[Column1]]),0)</f>
        <v>969</v>
      </c>
      <c r="F159" s="1">
        <f>teraterm[[#This Row],[V(V)]]^2</f>
        <v>34298.976699247956</v>
      </c>
    </row>
    <row r="160" spans="1:6" x14ac:dyDescent="0.25">
      <c r="A160" s="7">
        <v>751</v>
      </c>
      <c r="B160" s="2">
        <v>25896</v>
      </c>
      <c r="C160" s="1">
        <f>(teraterm[[#This Row],[Value(V)]]+$K$2)*$S$2</f>
        <v>-205.0784912109375</v>
      </c>
      <c r="D160" s="1">
        <f>(teraterm[[#This Row],[Column2]]-Q$4)*$S$3*1000</f>
        <v>10537.109374999998</v>
      </c>
      <c r="E160" s="1">
        <f>IF(ABS(VALUE(teraterm[[#This Row],[Column1]]))&lt;4096,VALUE(teraterm[[#This Row],[Column1]]),0)</f>
        <v>751</v>
      </c>
      <c r="F160" s="1">
        <f>teraterm[[#This Row],[V(V)]]^2</f>
        <v>42057.187557354569</v>
      </c>
    </row>
    <row r="161" spans="1:6" x14ac:dyDescent="0.25">
      <c r="A161" s="7">
        <v>556</v>
      </c>
      <c r="B161" s="2">
        <v>-22395</v>
      </c>
      <c r="C161" s="1">
        <f>(teraterm[[#This Row],[Value(V)]]+$K$2)*$S$2</f>
        <v>-222.85986328125</v>
      </c>
      <c r="D161" s="1">
        <f>(teraterm[[#This Row],[Column2]]-Q$4)*$S$3*1000</f>
        <v>-9112.548828125</v>
      </c>
      <c r="E161" s="1">
        <f>IF(ABS(VALUE(teraterm[[#This Row],[Column1]]))&lt;4096,VALUE(teraterm[[#This Row],[Column1]]),0)</f>
        <v>556</v>
      </c>
      <c r="F161" s="1">
        <f>teraterm[[#This Row],[V(V)]]^2</f>
        <v>49666.518661737442</v>
      </c>
    </row>
    <row r="162" spans="1:6" x14ac:dyDescent="0.25">
      <c r="A162" s="7">
        <v>404</v>
      </c>
      <c r="B162" s="2">
        <v>6004</v>
      </c>
      <c r="C162" s="1">
        <f>(teraterm[[#This Row],[Value(V)]]+$K$2)*$S$2</f>
        <v>-236.72021484375</v>
      </c>
      <c r="D162" s="1">
        <f>(teraterm[[#This Row],[Column2]]-Q$4)*$S$3*1000</f>
        <v>2443.0338541666665</v>
      </c>
      <c r="E162" s="1">
        <f>IF(ABS(VALUE(teraterm[[#This Row],[Column1]]))&lt;4096,VALUE(teraterm[[#This Row],[Column1]]),0)</f>
        <v>404</v>
      </c>
      <c r="F162" s="1">
        <f>teraterm[[#This Row],[V(V)]]^2</f>
        <v>56036.460115671158</v>
      </c>
    </row>
    <row r="163" spans="1:6" x14ac:dyDescent="0.25">
      <c r="A163" s="7">
        <v>293</v>
      </c>
      <c r="B163" s="2">
        <v>-20533</v>
      </c>
      <c r="C163" s="1">
        <f>(teraterm[[#This Row],[Value(V)]]+$K$2)*$S$2</f>
        <v>-246.8419189453125</v>
      </c>
      <c r="D163" s="1">
        <f>(teraterm[[#This Row],[Column2]]-Q$4)*$S$3*1000</f>
        <v>-8354.8990885416661</v>
      </c>
      <c r="E163" s="1">
        <f>IF(ABS(VALUE(teraterm[[#This Row],[Column1]]))&lt;4096,VALUE(teraterm[[#This Row],[Column1]]),0)</f>
        <v>293</v>
      </c>
      <c r="F163" s="1">
        <f>teraterm[[#This Row],[V(V)]]^2</f>
        <v>60930.932948604226</v>
      </c>
    </row>
    <row r="164" spans="1:6" x14ac:dyDescent="0.25">
      <c r="A164" s="7">
        <v>242</v>
      </c>
      <c r="B164" s="2">
        <v>-31666</v>
      </c>
      <c r="C164" s="1">
        <f>(teraterm[[#This Row],[Value(V)]]+$K$2)*$S$2</f>
        <v>-251.492431640625</v>
      </c>
      <c r="D164" s="1">
        <f>(teraterm[[#This Row],[Column2]]-Q$4)*$S$3*1000</f>
        <v>-12884.928385416666</v>
      </c>
      <c r="E164" s="1">
        <f>IF(ABS(VALUE(teraterm[[#This Row],[Column1]]))&lt;4096,VALUE(teraterm[[#This Row],[Column1]]),0)</f>
        <v>242</v>
      </c>
      <c r="F164" s="1">
        <f>teraterm[[#This Row],[V(V)]]^2</f>
        <v>63248.443172514439</v>
      </c>
    </row>
    <row r="165" spans="1:6" x14ac:dyDescent="0.25">
      <c r="A165" s="7">
        <v>227</v>
      </c>
      <c r="B165" s="2">
        <v>31960</v>
      </c>
      <c r="C165" s="1">
        <f>(teraterm[[#This Row],[Value(V)]]+$K$2)*$S$2</f>
        <v>-252.8602294921875</v>
      </c>
      <c r="D165" s="1">
        <f>(teraterm[[#This Row],[Column2]]-Q$4)*$S$3*1000</f>
        <v>13004.557291666666</v>
      </c>
      <c r="E165" s="1">
        <f>IF(ABS(VALUE(teraterm[[#This Row],[Column1]]))&lt;4096,VALUE(teraterm[[#This Row],[Column1]]),0)</f>
        <v>227</v>
      </c>
      <c r="F165" s="1">
        <f>teraterm[[#This Row],[V(V)]]^2</f>
        <v>63938.295658841729</v>
      </c>
    </row>
    <row r="166" spans="1:6" x14ac:dyDescent="0.25">
      <c r="A166" s="7">
        <v>220</v>
      </c>
      <c r="B166" s="2">
        <v>32098</v>
      </c>
      <c r="C166" s="1">
        <f>(teraterm[[#This Row],[Value(V)]]+$K$2)*$S$2</f>
        <v>-253.49853515625</v>
      </c>
      <c r="D166" s="1">
        <f>(teraterm[[#This Row],[Column2]]-Q$4)*$S$3*1000</f>
        <v>13060.709635416666</v>
      </c>
      <c r="E166" s="1">
        <f>IF(ABS(VALUE(teraterm[[#This Row],[Column1]]))&lt;4096,VALUE(teraterm[[#This Row],[Column1]]),0)</f>
        <v>220</v>
      </c>
      <c r="F166" s="1">
        <f>teraterm[[#This Row],[V(V)]]^2</f>
        <v>64261.507326364517</v>
      </c>
    </row>
    <row r="167" spans="1:6" x14ac:dyDescent="0.25">
      <c r="A167" s="7">
        <v>223</v>
      </c>
      <c r="B167" s="2">
        <v>-30751</v>
      </c>
      <c r="C167" s="1">
        <f>(teraterm[[#This Row],[Value(V)]]+$K$2)*$S$2</f>
        <v>-253.2249755859375</v>
      </c>
      <c r="D167" s="1">
        <f>(teraterm[[#This Row],[Column2]]-Q$4)*$S$3*1000</f>
        <v>-12512.613932291666</v>
      </c>
      <c r="E167" s="1">
        <f>IF(ABS(VALUE(teraterm[[#This Row],[Column1]]))&lt;4096,VALUE(teraterm[[#This Row],[Column1]]),0)</f>
        <v>223</v>
      </c>
      <c r="F167" s="1">
        <f>teraterm[[#This Row],[V(V)]]^2</f>
        <v>64122.888260498643</v>
      </c>
    </row>
    <row r="168" spans="1:6" x14ac:dyDescent="0.25">
      <c r="A168" s="7">
        <v>253</v>
      </c>
      <c r="B168" s="2">
        <v>-21189</v>
      </c>
      <c r="C168" s="1">
        <f>(teraterm[[#This Row],[Value(V)]]+$K$2)*$S$2</f>
        <v>-250.4893798828125</v>
      </c>
      <c r="D168" s="1">
        <f>(teraterm[[#This Row],[Column2]]-Q$4)*$S$3*1000</f>
        <v>-8621.826171875</v>
      </c>
      <c r="E168" s="1">
        <f>IF(ABS(VALUE(teraterm[[#This Row],[Column1]]))&lt;4096,VALUE(teraterm[[#This Row],[Column1]]),0)</f>
        <v>253</v>
      </c>
      <c r="F168" s="1">
        <f>teraterm[[#This Row],[V(V)]]^2</f>
        <v>62744.929434075952</v>
      </c>
    </row>
    <row r="169" spans="1:6" x14ac:dyDescent="0.25">
      <c r="A169" s="7">
        <v>369</v>
      </c>
      <c r="B169" s="2">
        <v>10265</v>
      </c>
      <c r="C169" s="1">
        <f>(teraterm[[#This Row],[Value(V)]]+$K$2)*$S$2</f>
        <v>-239.9117431640625</v>
      </c>
      <c r="D169" s="1">
        <f>(teraterm[[#This Row],[Column2]]-Q$4)*$S$3*1000</f>
        <v>4176.839192708333</v>
      </c>
      <c r="E169" s="1">
        <f>IF(ABS(VALUE(teraterm[[#This Row],[Column1]]))&lt;4096,VALUE(teraterm[[#This Row],[Column1]]),0)</f>
        <v>369</v>
      </c>
      <c r="F169" s="1">
        <f>teraterm[[#This Row],[V(V)]]^2</f>
        <v>57557.64450801909</v>
      </c>
    </row>
    <row r="170" spans="1:6" x14ac:dyDescent="0.25">
      <c r="A170" s="7">
        <v>574</v>
      </c>
      <c r="B170" s="2">
        <v>-1245</v>
      </c>
      <c r="C170" s="1">
        <f>(teraterm[[#This Row],[Value(V)]]+$K$2)*$S$2</f>
        <v>-221.218505859375</v>
      </c>
      <c r="D170" s="1">
        <f>(teraterm[[#This Row],[Column2]]-Q$4)*$S$3*1000</f>
        <v>-506.591796875</v>
      </c>
      <c r="E170" s="1">
        <f>IF(ABS(VALUE(teraterm[[#This Row],[Column1]]))&lt;4096,VALUE(teraterm[[#This Row],[Column1]]),0)</f>
        <v>574</v>
      </c>
      <c r="F170" s="1">
        <f>teraterm[[#This Row],[V(V)]]^2</f>
        <v>48937.627334654331</v>
      </c>
    </row>
    <row r="171" spans="1:6" x14ac:dyDescent="0.25">
      <c r="A171" s="7">
        <v>775</v>
      </c>
      <c r="B171" s="2">
        <v>-13986</v>
      </c>
      <c r="C171" s="1">
        <f>(teraterm[[#This Row],[Value(V)]]+$K$2)*$S$2</f>
        <v>-202.8900146484375</v>
      </c>
      <c r="D171" s="1">
        <f>(teraterm[[#This Row],[Column2]]-Q$4)*$S$3*1000</f>
        <v>-5690.9179687499991</v>
      </c>
      <c r="E171" s="1">
        <f>IF(ABS(VALUE(teraterm[[#This Row],[Column1]]))&lt;4096,VALUE(teraterm[[#This Row],[Column1]]),0)</f>
        <v>775</v>
      </c>
      <c r="F171" s="1">
        <f>teraterm[[#This Row],[V(V)]]^2</f>
        <v>41164.358044043183</v>
      </c>
    </row>
    <row r="172" spans="1:6" x14ac:dyDescent="0.25">
      <c r="A172" s="7">
        <v>987</v>
      </c>
      <c r="B172" s="2">
        <v>-24128</v>
      </c>
      <c r="C172" s="1">
        <f>(teraterm[[#This Row],[Value(V)]]+$K$2)*$S$2</f>
        <v>-183.5584716796875</v>
      </c>
      <c r="D172" s="1">
        <f>(teraterm[[#This Row],[Column2]]-Q$4)*$S$3*1000</f>
        <v>-9817.7083333333321</v>
      </c>
      <c r="E172" s="1">
        <f>IF(ABS(VALUE(teraterm[[#This Row],[Column1]]))&lt;4096,VALUE(teraterm[[#This Row],[Column1]]),0)</f>
        <v>987</v>
      </c>
      <c r="F172" s="1">
        <f>teraterm[[#This Row],[V(V)]]^2</f>
        <v>33693.712525382638</v>
      </c>
    </row>
    <row r="173" spans="1:6" x14ac:dyDescent="0.25">
      <c r="A173" s="7">
        <v>1234</v>
      </c>
      <c r="B173" s="2">
        <v>-25561</v>
      </c>
      <c r="C173" s="1">
        <f>(teraterm[[#This Row],[Value(V)]]+$K$2)*$S$2</f>
        <v>-161.035400390625</v>
      </c>
      <c r="D173" s="1">
        <f>(teraterm[[#This Row],[Column2]]-Q$4)*$S$3*1000</f>
        <v>-10400.797526041666</v>
      </c>
      <c r="E173" s="1">
        <f>IF(ABS(VALUE(teraterm[[#This Row],[Column1]]))&lt;4096,VALUE(teraterm[[#This Row],[Column1]]),0)</f>
        <v>1234</v>
      </c>
      <c r="F173" s="1">
        <f>teraterm[[#This Row],[V(V)]]^2</f>
        <v>25932.400178968906</v>
      </c>
    </row>
    <row r="174" spans="1:6" x14ac:dyDescent="0.25">
      <c r="A174" s="7">
        <v>1477</v>
      </c>
      <c r="B174" s="2">
        <v>-28265</v>
      </c>
      <c r="C174" s="1">
        <f>(teraterm[[#This Row],[Value(V)]]+$K$2)*$S$2</f>
        <v>-138.8770751953125</v>
      </c>
      <c r="D174" s="1">
        <f>(teraterm[[#This Row],[Column2]]-Q$4)*$S$3*1000</f>
        <v>-11501.057942708332</v>
      </c>
      <c r="E174" s="1">
        <f>IF(ABS(VALUE(teraterm[[#This Row],[Column1]]))&lt;4096,VALUE(teraterm[[#This Row],[Column1]]),0)</f>
        <v>1477</v>
      </c>
      <c r="F174" s="1">
        <f>teraterm[[#This Row],[V(V)]]^2</f>
        <v>19286.842014804482</v>
      </c>
    </row>
    <row r="175" spans="1:6" x14ac:dyDescent="0.25">
      <c r="A175" s="7">
        <v>1731</v>
      </c>
      <c r="B175" s="2">
        <v>-28409</v>
      </c>
      <c r="C175" s="1">
        <f>(teraterm[[#This Row],[Value(V)]]+$K$2)*$S$2</f>
        <v>-115.7156982421875</v>
      </c>
      <c r="D175" s="1">
        <f>(teraterm[[#This Row],[Column2]]-Q$4)*$S$3*1000</f>
        <v>-11559.651692708332</v>
      </c>
      <c r="E175" s="1">
        <f>IF(ABS(VALUE(teraterm[[#This Row],[Column1]]))&lt;4096,VALUE(teraterm[[#This Row],[Column1]]),0)</f>
        <v>1731</v>
      </c>
      <c r="F175" s="1">
        <f>teraterm[[#This Row],[V(V)]]^2</f>
        <v>13390.122819676995</v>
      </c>
    </row>
    <row r="176" spans="1:6" x14ac:dyDescent="0.25">
      <c r="A176" s="7">
        <v>2012</v>
      </c>
      <c r="B176" s="2">
        <v>-21924</v>
      </c>
      <c r="C176" s="1">
        <f>(teraterm[[#This Row],[Value(V)]]+$K$2)*$S$2</f>
        <v>-90.09228515625</v>
      </c>
      <c r="D176" s="1">
        <f>(teraterm[[#This Row],[Column2]]-Q$4)*$S$3*1000</f>
        <v>-8920.8984375</v>
      </c>
      <c r="E176" s="1">
        <f>IF(ABS(VALUE(teraterm[[#This Row],[Column1]]))&lt;4096,VALUE(teraterm[[#This Row],[Column1]]),0)</f>
        <v>2012</v>
      </c>
      <c r="F176" s="1">
        <f>teraterm[[#This Row],[V(V)]]^2</f>
        <v>8116.6198446750641</v>
      </c>
    </row>
    <row r="177" spans="1:6" x14ac:dyDescent="0.25">
      <c r="A177" s="7">
        <v>2291</v>
      </c>
      <c r="B177" s="2">
        <v>-16230</v>
      </c>
      <c r="C177" s="1">
        <f>(teraterm[[#This Row],[Value(V)]]+$K$2)*$S$2</f>
        <v>-64.6512451171875</v>
      </c>
      <c r="D177" s="1">
        <f>(teraterm[[#This Row],[Column2]]-Q$4)*$S$3*1000</f>
        <v>-6604.0039062499991</v>
      </c>
      <c r="E177" s="1">
        <f>IF(ABS(VALUE(teraterm[[#This Row],[Column1]]))&lt;4096,VALUE(teraterm[[#This Row],[Column1]]),0)</f>
        <v>2291</v>
      </c>
      <c r="F177" s="1">
        <f>teraterm[[#This Row],[V(V)]]^2</f>
        <v>4179.7834952026606</v>
      </c>
    </row>
    <row r="178" spans="1:6" x14ac:dyDescent="0.25">
      <c r="A178" s="7">
        <v>2546</v>
      </c>
      <c r="B178" s="2">
        <v>-16934</v>
      </c>
      <c r="C178" s="1">
        <f>(teraterm[[#This Row],[Value(V)]]+$K$2)*$S$2</f>
        <v>-41.398681640625</v>
      </c>
      <c r="D178" s="1">
        <f>(teraterm[[#This Row],[Column2]]-Q$4)*$S$3*1000</f>
        <v>-6890.462239583333</v>
      </c>
      <c r="E178" s="1">
        <f>IF(ABS(VALUE(teraterm[[#This Row],[Column1]]))&lt;4096,VALUE(teraterm[[#This Row],[Column1]]),0)</f>
        <v>2546</v>
      </c>
      <c r="F178" s="1">
        <f>teraterm[[#This Row],[V(V)]]^2</f>
        <v>1713.8508415818214</v>
      </c>
    </row>
    <row r="179" spans="1:6" x14ac:dyDescent="0.25">
      <c r="A179" s="7">
        <v>2794</v>
      </c>
      <c r="B179" s="2">
        <v>-19676</v>
      </c>
      <c r="C179" s="1">
        <f>(teraterm[[#This Row],[Value(V)]]+$K$2)*$S$2</f>
        <v>-18.784423828125</v>
      </c>
      <c r="D179" s="1">
        <f>(teraterm[[#This Row],[Column2]]-Q$4)*$S$3*1000</f>
        <v>-8006.1848958333321</v>
      </c>
      <c r="E179" s="1">
        <f>IF(ABS(VALUE(teraterm[[#This Row],[Column1]]))&lt;4096,VALUE(teraterm[[#This Row],[Column1]]),0)</f>
        <v>2794</v>
      </c>
      <c r="F179" s="1">
        <f>teraterm[[#This Row],[V(V)]]^2</f>
        <v>352.85457855463028</v>
      </c>
    </row>
    <row r="180" spans="1:6" x14ac:dyDescent="0.25">
      <c r="A180" s="7">
        <v>3037</v>
      </c>
      <c r="B180" s="2">
        <v>-23939</v>
      </c>
      <c r="C180" s="1">
        <f>(teraterm[[#This Row],[Value(V)]]+$K$2)*$S$2</f>
        <v>3.3739013671875</v>
      </c>
      <c r="D180" s="1">
        <f>(teraterm[[#This Row],[Column2]]-Q$4)*$S$3*1000</f>
        <v>-9740.8040364583321</v>
      </c>
      <c r="E180" s="1">
        <f>IF(ABS(VALUE(teraterm[[#This Row],[Column1]]))&lt;4096,VALUE(teraterm[[#This Row],[Column1]]),0)</f>
        <v>3037</v>
      </c>
      <c r="F180" s="1">
        <f>teraterm[[#This Row],[V(V)]]^2</f>
        <v>11.383210435509682</v>
      </c>
    </row>
    <row r="181" spans="1:6" x14ac:dyDescent="0.25">
      <c r="A181" s="7">
        <v>3262</v>
      </c>
      <c r="B181" s="2">
        <v>32505</v>
      </c>
      <c r="C181" s="1">
        <f>(teraterm[[#This Row],[Value(V)]]+$K$2)*$S$2</f>
        <v>23.890869140625</v>
      </c>
      <c r="D181" s="1">
        <f>(teraterm[[#This Row],[Column2]]-Q$4)*$S$3*1000</f>
        <v>13226.318359374998</v>
      </c>
      <c r="E181" s="1">
        <f>IF(ABS(VALUE(teraterm[[#This Row],[Column1]]))&lt;4096,VALUE(teraterm[[#This Row],[Column1]]),0)</f>
        <v>3262</v>
      </c>
      <c r="F181" s="1">
        <f>teraterm[[#This Row],[V(V)]]^2</f>
        <v>570.77362829446793</v>
      </c>
    </row>
    <row r="182" spans="1:6" x14ac:dyDescent="0.25">
      <c r="A182" s="7">
        <v>3471</v>
      </c>
      <c r="B182" s="2">
        <v>19113</v>
      </c>
      <c r="C182" s="1">
        <f>(teraterm[[#This Row],[Value(V)]]+$K$2)*$S$2</f>
        <v>42.9488525390625</v>
      </c>
      <c r="D182" s="1">
        <f>(teraterm[[#This Row],[Column2]]-Q$4)*$S$3*1000</f>
        <v>7777.0996093749991</v>
      </c>
      <c r="E182" s="1">
        <f>IF(ABS(VALUE(teraterm[[#This Row],[Column1]]))&lt;4096,VALUE(teraterm[[#This Row],[Column1]]),0)</f>
        <v>3471</v>
      </c>
      <c r="F182" s="1">
        <f>teraterm[[#This Row],[V(V)]]^2</f>
        <v>1844.6039344221354</v>
      </c>
    </row>
    <row r="183" spans="1:6" x14ac:dyDescent="0.25">
      <c r="A183" s="7">
        <v>3663</v>
      </c>
      <c r="B183" s="2">
        <v>1182</v>
      </c>
      <c r="C183" s="1">
        <f>(teraterm[[#This Row],[Value(V)]]+$K$2)*$S$2</f>
        <v>60.4566650390625</v>
      </c>
      <c r="D183" s="1">
        <f>(teraterm[[#This Row],[Column2]]-Q$4)*$S$3*1000</f>
        <v>480.95703124999994</v>
      </c>
      <c r="E183" s="1">
        <f>IF(ABS(VALUE(teraterm[[#This Row],[Column1]]))&lt;4096,VALUE(teraterm[[#This Row],[Column1]]),0)</f>
        <v>3663</v>
      </c>
      <c r="F183" s="1">
        <f>teraterm[[#This Row],[V(V)]]^2</f>
        <v>3655.008347645402</v>
      </c>
    </row>
    <row r="184" spans="1:6" x14ac:dyDescent="0.25">
      <c r="A184" s="7">
        <v>3818</v>
      </c>
      <c r="B184" s="2">
        <v>-26370</v>
      </c>
      <c r="C184" s="1">
        <f>(teraterm[[#This Row],[Value(V)]]+$K$2)*$S$2</f>
        <v>74.590576171875</v>
      </c>
      <c r="D184" s="1">
        <f>(teraterm[[#This Row],[Column2]]-Q$4)*$S$3*1000</f>
        <v>-10729.980468749998</v>
      </c>
      <c r="E184" s="1">
        <f>IF(ABS(VALUE(teraterm[[#This Row],[Column1]]))&lt;4096,VALUE(teraterm[[#This Row],[Column1]]),0)</f>
        <v>3818</v>
      </c>
      <c r="F184" s="1">
        <f>teraterm[[#This Row],[V(V)]]^2</f>
        <v>5563.7540536522865</v>
      </c>
    </row>
    <row r="185" spans="1:6" x14ac:dyDescent="0.25">
      <c r="A185" s="7">
        <v>3935</v>
      </c>
      <c r="B185" s="2">
        <v>1776</v>
      </c>
      <c r="C185" s="1">
        <f>(teraterm[[#This Row],[Value(V)]]+$K$2)*$S$2</f>
        <v>85.2593994140625</v>
      </c>
      <c r="D185" s="1">
        <f>(teraterm[[#This Row],[Column2]]-Q$4)*$S$3*1000</f>
        <v>722.65624999999989</v>
      </c>
      <c r="E185" s="1">
        <f>IF(ABS(VALUE(teraterm[[#This Row],[Column1]]))&lt;4096,VALUE(teraterm[[#This Row],[Column1]]),0)</f>
        <v>3935</v>
      </c>
      <c r="F185" s="1">
        <f>teraterm[[#This Row],[V(V)]]^2</f>
        <v>7269.165188446641</v>
      </c>
    </row>
    <row r="186" spans="1:6" x14ac:dyDescent="0.25">
      <c r="A186" s="7">
        <v>4002</v>
      </c>
      <c r="B186" s="2">
        <v>17062</v>
      </c>
      <c r="C186" s="1">
        <f>(teraterm[[#This Row],[Value(V)]]+$K$2)*$S$2</f>
        <v>91.368896484375</v>
      </c>
      <c r="D186" s="1">
        <f>(teraterm[[#This Row],[Column2]]-Q$4)*$S$3*1000</f>
        <v>6942.5455729166661</v>
      </c>
      <c r="E186" s="1">
        <f>IF(ABS(VALUE(teraterm[[#This Row],[Column1]]))&lt;4096,VALUE(teraterm[[#This Row],[Column1]]),0)</f>
        <v>4002</v>
      </c>
      <c r="F186" s="1">
        <f>teraterm[[#This Row],[V(V)]]^2</f>
        <v>8348.2752447724342</v>
      </c>
    </row>
    <row r="187" spans="1:6" x14ac:dyDescent="0.25">
      <c r="A187" s="7">
        <v>4025</v>
      </c>
      <c r="B187" s="2">
        <v>21068</v>
      </c>
      <c r="C187" s="1">
        <f>(teraterm[[#This Row],[Value(V)]]+$K$2)*$S$2</f>
        <v>93.4661865234375</v>
      </c>
      <c r="D187" s="1">
        <f>(teraterm[[#This Row],[Column2]]-Q$4)*$S$3*1000</f>
        <v>8572.5911458333321</v>
      </c>
      <c r="E187" s="1">
        <f>IF(ABS(VALUE(teraterm[[#This Row],[Column1]]))&lt;4096,VALUE(teraterm[[#This Row],[Column1]]),0)</f>
        <v>4025</v>
      </c>
      <c r="F187" s="1">
        <f>teraterm[[#This Row],[V(V)]]^2</f>
        <v>8735.9280232340097</v>
      </c>
    </row>
    <row r="188" spans="1:6" x14ac:dyDescent="0.25">
      <c r="A188" s="7">
        <v>4039</v>
      </c>
      <c r="B188" s="2">
        <v>22763</v>
      </c>
      <c r="C188" s="1">
        <f>(teraterm[[#This Row],[Value(V)]]+$K$2)*$S$2</f>
        <v>94.7427978515625</v>
      </c>
      <c r="D188" s="1">
        <f>(teraterm[[#This Row],[Column2]]-Q$4)*$S$3*1000</f>
        <v>9262.2884114583321</v>
      </c>
      <c r="E188" s="1">
        <f>IF(ABS(VALUE(teraterm[[#This Row],[Column1]]))&lt;4096,VALUE(teraterm[[#This Row],[Column1]]),0)</f>
        <v>4039</v>
      </c>
      <c r="F188" s="1">
        <f>teraterm[[#This Row],[V(V)]]^2</f>
        <v>8976.1977447420359</v>
      </c>
    </row>
    <row r="189" spans="1:6" x14ac:dyDescent="0.25">
      <c r="A189" s="7">
        <v>4046</v>
      </c>
      <c r="B189" s="2">
        <v>22667</v>
      </c>
      <c r="C189" s="1">
        <f>(teraterm[[#This Row],[Value(V)]]+$K$2)*$S$2</f>
        <v>95.381103515625</v>
      </c>
      <c r="D189" s="1">
        <f>(teraterm[[#This Row],[Column2]]-Q$4)*$S$3*1000</f>
        <v>9223.2259114583321</v>
      </c>
      <c r="E189" s="1">
        <f>IF(ABS(VALUE(teraterm[[#This Row],[Column1]]))&lt;4096,VALUE(teraterm[[#This Row],[Column1]]),0)</f>
        <v>4046</v>
      </c>
      <c r="F189" s="1">
        <f>teraterm[[#This Row],[V(V)]]^2</f>
        <v>9097.5549078583717</v>
      </c>
    </row>
    <row r="190" spans="1:6" x14ac:dyDescent="0.25">
      <c r="A190" s="7">
        <v>4036</v>
      </c>
      <c r="B190" s="2">
        <v>18236</v>
      </c>
      <c r="C190" s="1">
        <f>(teraterm[[#This Row],[Value(V)]]+$K$2)*$S$2</f>
        <v>94.46923828125</v>
      </c>
      <c r="D190" s="1">
        <f>(teraterm[[#This Row],[Column2]]-Q$4)*$S$3*1000</f>
        <v>7420.247395833333</v>
      </c>
      <c r="E190" s="1">
        <f>IF(ABS(VALUE(teraterm[[#This Row],[Column1]]))&lt;4096,VALUE(teraterm[[#This Row],[Column1]]),0)</f>
        <v>4036</v>
      </c>
      <c r="F190" s="1">
        <f>teraterm[[#This Row],[V(V)]]^2</f>
        <v>8924.4369814395905</v>
      </c>
    </row>
    <row r="191" spans="1:6" x14ac:dyDescent="0.25">
      <c r="A191" s="7">
        <v>3961</v>
      </c>
      <c r="B191" s="2">
        <v>-2753</v>
      </c>
      <c r="C191" s="1">
        <f>(teraterm[[#This Row],[Value(V)]]+$K$2)*$S$2</f>
        <v>87.6302490234375</v>
      </c>
      <c r="D191" s="1">
        <f>(teraterm[[#This Row],[Column2]]-Q$4)*$S$3*1000</f>
        <v>-1120.1985677083333</v>
      </c>
      <c r="E191" s="1">
        <f>IF(ABS(VALUE(teraterm[[#This Row],[Column1]]))&lt;4096,VALUE(teraterm[[#This Row],[Column1]]),0)</f>
        <v>3961</v>
      </c>
      <c r="F191" s="1">
        <f>teraterm[[#This Row],[V(V)]]^2</f>
        <v>7679.0605439096689</v>
      </c>
    </row>
    <row r="192" spans="1:6" x14ac:dyDescent="0.25">
      <c r="A192" s="7">
        <v>3790</v>
      </c>
      <c r="B192" s="2">
        <v>17396</v>
      </c>
      <c r="C192" s="1">
        <f>(teraterm[[#This Row],[Value(V)]]+$K$2)*$S$2</f>
        <v>72.037353515625</v>
      </c>
      <c r="D192" s="1">
        <f>(teraterm[[#This Row],[Column2]]-Q$4)*$S$3*1000</f>
        <v>7078.450520833333</v>
      </c>
      <c r="E192" s="1">
        <f>IF(ABS(VALUE(teraterm[[#This Row],[Column1]]))&lt;4096,VALUE(teraterm[[#This Row],[Column1]]),0)</f>
        <v>3790</v>
      </c>
      <c r="F192" s="1">
        <f>teraterm[[#This Row],[V(V)]]^2</f>
        <v>5189.3803015351295</v>
      </c>
    </row>
    <row r="193" spans="1:6" x14ac:dyDescent="0.25">
      <c r="A193" s="7">
        <v>3600</v>
      </c>
      <c r="B193" s="2">
        <v>-32658</v>
      </c>
      <c r="C193" s="1">
        <f>(teraterm[[#This Row],[Value(V)]]+$K$2)*$S$2</f>
        <v>54.7119140625</v>
      </c>
      <c r="D193" s="1">
        <f>(teraterm[[#This Row],[Column2]]-Q$4)*$S$3*1000</f>
        <v>-13288.574218749998</v>
      </c>
      <c r="E193" s="1">
        <f>IF(ABS(VALUE(teraterm[[#This Row],[Column1]]))&lt;4096,VALUE(teraterm[[#This Row],[Column1]]),0)</f>
        <v>3600</v>
      </c>
      <c r="F193" s="1">
        <f>teraterm[[#This Row],[V(V)]]^2</f>
        <v>2993.3935403823853</v>
      </c>
    </row>
    <row r="194" spans="1:6" x14ac:dyDescent="0.25">
      <c r="A194" s="7">
        <v>3407</v>
      </c>
      <c r="B194" s="2">
        <v>-17746</v>
      </c>
      <c r="C194" s="1">
        <f>(teraterm[[#This Row],[Value(V)]]+$K$2)*$S$2</f>
        <v>37.1129150390625</v>
      </c>
      <c r="D194" s="1">
        <f>(teraterm[[#This Row],[Column2]]-Q$4)*$S$3*1000</f>
        <v>-7220.8658854166661</v>
      </c>
      <c r="E194" s="1">
        <f>IF(ABS(VALUE(teraterm[[#This Row],[Column1]]))&lt;4096,VALUE(teraterm[[#This Row],[Column1]]),0)</f>
        <v>3407</v>
      </c>
      <c r="F194" s="1">
        <f>teraterm[[#This Row],[V(V)]]^2</f>
        <v>1377.3684626966715</v>
      </c>
    </row>
    <row r="195" spans="1:6" x14ac:dyDescent="0.25">
      <c r="A195" s="7">
        <v>3181</v>
      </c>
      <c r="B195" s="2">
        <v>-11051</v>
      </c>
      <c r="C195" s="1">
        <f>(teraterm[[#This Row],[Value(V)]]+$K$2)*$S$2</f>
        <v>16.5047607421875</v>
      </c>
      <c r="D195" s="1">
        <f>(teraterm[[#This Row],[Column2]]-Q$4)*$S$3*1000</f>
        <v>-4496.663411458333</v>
      </c>
      <c r="E195" s="1">
        <f>IF(ABS(VALUE(teraterm[[#This Row],[Column1]]))&lt;4096,VALUE(teraterm[[#This Row],[Column1]]),0)</f>
        <v>3181</v>
      </c>
      <c r="F195" s="1">
        <f>teraterm[[#This Row],[V(V)]]^2</f>
        <v>272.40712715685368</v>
      </c>
    </row>
    <row r="196" spans="1:6" x14ac:dyDescent="0.25">
      <c r="A196" s="7">
        <v>2941</v>
      </c>
      <c r="B196" s="2">
        <v>-7696</v>
      </c>
      <c r="C196" s="1">
        <f>(teraterm[[#This Row],[Value(V)]]+$K$2)*$S$2</f>
        <v>-5.3800048828125</v>
      </c>
      <c r="D196" s="1">
        <f>(teraterm[[#This Row],[Column2]]-Q$4)*$S$3*1000</f>
        <v>-3131.5104166666665</v>
      </c>
      <c r="E196" s="1">
        <f>IF(ABS(VALUE(teraterm[[#This Row],[Column1]]))&lt;4096,VALUE(teraterm[[#This Row],[Column1]]),0)</f>
        <v>2941</v>
      </c>
      <c r="F196" s="1">
        <f>teraterm[[#This Row],[V(V)]]^2</f>
        <v>28.944452539086342</v>
      </c>
    </row>
    <row r="197" spans="1:6" x14ac:dyDescent="0.25">
      <c r="A197" s="7">
        <v>2698</v>
      </c>
      <c r="B197" s="2">
        <v>-4863</v>
      </c>
      <c r="C197" s="1">
        <f>(teraterm[[#This Row],[Value(V)]]+$K$2)*$S$2</f>
        <v>-27.538330078125</v>
      </c>
      <c r="D197" s="1">
        <f>(teraterm[[#This Row],[Column2]]-Q$4)*$S$3*1000</f>
        <v>-1978.7597656249998</v>
      </c>
      <c r="E197" s="1">
        <f>IF(ABS(VALUE(teraterm[[#This Row],[Column1]]))&lt;4096,VALUE(teraterm[[#This Row],[Column1]]),0)</f>
        <v>2698</v>
      </c>
      <c r="F197" s="1">
        <f>teraterm[[#This Row],[V(V)]]^2</f>
        <v>758.35962349176407</v>
      </c>
    </row>
    <row r="198" spans="1:6" x14ac:dyDescent="0.25">
      <c r="A198" s="7">
        <v>2431</v>
      </c>
      <c r="B198" s="2">
        <v>-7906</v>
      </c>
      <c r="C198" s="1">
        <f>(teraterm[[#This Row],[Value(V)]]+$K$2)*$S$2</f>
        <v>-51.8851318359375</v>
      </c>
      <c r="D198" s="1">
        <f>(teraterm[[#This Row],[Column2]]-Q$4)*$S$3*1000</f>
        <v>-3216.9596354166665</v>
      </c>
      <c r="E198" s="1">
        <f>IF(ABS(VALUE(teraterm[[#This Row],[Column1]]))&lt;4096,VALUE(teraterm[[#This Row],[Column1]]),0)</f>
        <v>2431</v>
      </c>
      <c r="F198" s="1">
        <f>teraterm[[#This Row],[V(V)]]^2</f>
        <v>2692.0669056326151</v>
      </c>
    </row>
    <row r="199" spans="1:6" x14ac:dyDescent="0.25">
      <c r="A199" s="7">
        <v>2144</v>
      </c>
      <c r="B199" s="2">
        <v>-15781</v>
      </c>
      <c r="C199" s="1">
        <f>(teraterm[[#This Row],[Value(V)]]+$K$2)*$S$2</f>
        <v>-78.0556640625</v>
      </c>
      <c r="D199" s="1">
        <f>(teraterm[[#This Row],[Column2]]-Q$4)*$S$3*1000</f>
        <v>-6421.3053385416661</v>
      </c>
      <c r="E199" s="1">
        <f>IF(ABS(VALUE(teraterm[[#This Row],[Column1]]))&lt;4096,VALUE(teraterm[[#This Row],[Column1]]),0)</f>
        <v>2144</v>
      </c>
      <c r="F199" s="1">
        <f>teraterm[[#This Row],[V(V)]]^2</f>
        <v>6092.686692237854</v>
      </c>
    </row>
    <row r="200" spans="1:6" x14ac:dyDescent="0.25">
      <c r="A200" s="7">
        <v>1868</v>
      </c>
      <c r="B200" s="2">
        <v>-20564</v>
      </c>
      <c r="C200" s="1">
        <f>(teraterm[[#This Row],[Value(V)]]+$K$2)*$S$2</f>
        <v>-103.22314453125</v>
      </c>
      <c r="D200" s="1">
        <f>(teraterm[[#This Row],[Column2]]-Q$4)*$S$3*1000</f>
        <v>-8367.5130208333321</v>
      </c>
      <c r="E200" s="1">
        <f>IF(ABS(VALUE(teraterm[[#This Row],[Column1]]))&lt;4096,VALUE(teraterm[[#This Row],[Column1]]),0)</f>
        <v>1868</v>
      </c>
      <c r="F200" s="1">
        <f>teraterm[[#This Row],[V(V)]]^2</f>
        <v>10655.017566919327</v>
      </c>
    </row>
    <row r="201" spans="1:6" x14ac:dyDescent="0.25">
      <c r="A201" s="7">
        <v>1616</v>
      </c>
      <c r="B201" s="2">
        <v>-18952</v>
      </c>
      <c r="C201" s="1">
        <f>(teraterm[[#This Row],[Value(V)]]+$K$2)*$S$2</f>
        <v>-126.2021484375</v>
      </c>
      <c r="D201" s="1">
        <f>(teraterm[[#This Row],[Column2]]-Q$4)*$S$3*1000</f>
        <v>-7711.5885416666661</v>
      </c>
      <c r="E201" s="1">
        <f>IF(ABS(VALUE(teraterm[[#This Row],[Column1]]))&lt;4096,VALUE(teraterm[[#This Row],[Column1]]),0)</f>
        <v>1616</v>
      </c>
      <c r="F201" s="1">
        <f>teraterm[[#This Row],[V(V)]]^2</f>
        <v>15926.982270240784</v>
      </c>
    </row>
    <row r="202" spans="1:6" x14ac:dyDescent="0.25">
      <c r="A202" s="7">
        <v>1361</v>
      </c>
      <c r="B202" s="2">
        <v>-17855</v>
      </c>
      <c r="C202" s="1">
        <f>(teraterm[[#This Row],[Value(V)]]+$K$2)*$S$2</f>
        <v>-149.4547119140625</v>
      </c>
      <c r="D202" s="1">
        <f>(teraterm[[#This Row],[Column2]]-Q$4)*$S$3*1000</f>
        <v>-7265.218098958333</v>
      </c>
      <c r="E202" s="1">
        <f>IF(ABS(VALUE(teraterm[[#This Row],[Column1]]))&lt;4096,VALUE(teraterm[[#This Row],[Column1]]),0)</f>
        <v>1361</v>
      </c>
      <c r="F202" s="1">
        <f>teraterm[[#This Row],[V(V)]]^2</f>
        <v>22336.710913315415</v>
      </c>
    </row>
    <row r="203" spans="1:6" x14ac:dyDescent="0.25">
      <c r="A203" s="7">
        <v>1118</v>
      </c>
      <c r="B203" s="2">
        <v>-13447</v>
      </c>
      <c r="C203" s="1">
        <f>(teraterm[[#This Row],[Value(V)]]+$K$2)*$S$2</f>
        <v>-171.613037109375</v>
      </c>
      <c r="D203" s="1">
        <f>(teraterm[[#This Row],[Column2]]-Q$4)*$S$3*1000</f>
        <v>-5471.5983072916661</v>
      </c>
      <c r="E203" s="1">
        <f>IF(ABS(VALUE(teraterm[[#This Row],[Column1]]))&lt;4096,VALUE(teraterm[[#This Row],[Column1]]),0)</f>
        <v>1118</v>
      </c>
      <c r="F203" s="1">
        <f>teraterm[[#This Row],[V(V)]]^2</f>
        <v>29451.034505903721</v>
      </c>
    </row>
    <row r="204" spans="1:6" x14ac:dyDescent="0.25">
      <c r="A204" s="7">
        <v>894</v>
      </c>
      <c r="B204" s="2">
        <v>-3955</v>
      </c>
      <c r="C204" s="1">
        <f>(teraterm[[#This Row],[Value(V)]]+$K$2)*$S$2</f>
        <v>-192.038818359375</v>
      </c>
      <c r="D204" s="1">
        <f>(teraterm[[#This Row],[Column2]]-Q$4)*$S$3*1000</f>
        <v>-1609.2936197916665</v>
      </c>
      <c r="E204" s="1">
        <f>IF(ABS(VALUE(teraterm[[#This Row],[Column1]]))&lt;4096,VALUE(teraterm[[#This Row],[Column1]]),0)</f>
        <v>894</v>
      </c>
      <c r="F204" s="1">
        <f>teraterm[[#This Row],[V(V)]]^2</f>
        <v>36878.907756865025</v>
      </c>
    </row>
    <row r="205" spans="1:6" x14ac:dyDescent="0.25">
      <c r="A205" s="7">
        <v>676</v>
      </c>
      <c r="B205" s="2">
        <v>7286</v>
      </c>
      <c r="C205" s="1">
        <f>(teraterm[[#This Row],[Value(V)]]+$K$2)*$S$2</f>
        <v>-211.91748046875</v>
      </c>
      <c r="D205" s="1">
        <f>(teraterm[[#This Row],[Column2]]-Q$4)*$S$3*1000</f>
        <v>2964.680989583333</v>
      </c>
      <c r="E205" s="1">
        <f>IF(ABS(VALUE(teraterm[[#This Row],[Column1]]))&lt;4096,VALUE(teraterm[[#This Row],[Column1]]),0)</f>
        <v>676</v>
      </c>
      <c r="F205" s="1">
        <f>teraterm[[#This Row],[V(V)]]^2</f>
        <v>44909.018528223038</v>
      </c>
    </row>
    <row r="206" spans="1:6" x14ac:dyDescent="0.25">
      <c r="A206" s="7">
        <v>501</v>
      </c>
      <c r="B206" s="2">
        <v>29704</v>
      </c>
      <c r="C206" s="1">
        <f>(teraterm[[#This Row],[Value(V)]]+$K$2)*$S$2</f>
        <v>-227.8751220703125</v>
      </c>
      <c r="D206" s="1">
        <f>(teraterm[[#This Row],[Column2]]-Q$4)*$S$3*1000</f>
        <v>12086.588541666666</v>
      </c>
      <c r="E206" s="1">
        <f>IF(ABS(VALUE(teraterm[[#This Row],[Column1]]))&lt;4096,VALUE(teraterm[[#This Row],[Column1]]),0)</f>
        <v>501</v>
      </c>
      <c r="F206" s="1">
        <f>teraterm[[#This Row],[V(V)]]^2</f>
        <v>51927.071258559823</v>
      </c>
    </row>
    <row r="207" spans="1:6" x14ac:dyDescent="0.25">
      <c r="A207" s="7">
        <v>359</v>
      </c>
      <c r="B207" s="2">
        <v>-4831</v>
      </c>
      <c r="C207" s="1">
        <f>(teraterm[[#This Row],[Value(V)]]+$K$2)*$S$2</f>
        <v>-240.8236083984375</v>
      </c>
      <c r="D207" s="1">
        <f>(teraterm[[#This Row],[Column2]]-Q$4)*$S$3*1000</f>
        <v>-1965.7389322916665</v>
      </c>
      <c r="E207" s="1">
        <f>IF(ABS(VALUE(teraterm[[#This Row],[Column1]]))&lt;4096,VALUE(teraterm[[#This Row],[Column1]]),0)</f>
        <v>359</v>
      </c>
      <c r="F207" s="1">
        <f>teraterm[[#This Row],[V(V)]]^2</f>
        <v>57996.010362043977</v>
      </c>
    </row>
    <row r="208" spans="1:6" x14ac:dyDescent="0.25">
      <c r="A208" s="7">
        <v>266</v>
      </c>
      <c r="B208" s="2">
        <v>-26736</v>
      </c>
      <c r="C208" s="1">
        <f>(teraterm[[#This Row],[Value(V)]]+$K$2)*$S$2</f>
        <v>-249.303955078125</v>
      </c>
      <c r="D208" s="1">
        <f>(teraterm[[#This Row],[Column2]]-Q$4)*$S$3*1000</f>
        <v>-10878.906249999998</v>
      </c>
      <c r="E208" s="1">
        <f>IF(ABS(VALUE(teraterm[[#This Row],[Column1]]))&lt;4096,VALUE(teraterm[[#This Row],[Column1]]),0)</f>
        <v>266</v>
      </c>
      <c r="F208" s="1">
        <f>teraterm[[#This Row],[V(V)]]^2</f>
        <v>62152.462017595768</v>
      </c>
    </row>
    <row r="209" spans="1:6" x14ac:dyDescent="0.25">
      <c r="A209" s="7">
        <v>234</v>
      </c>
      <c r="B209" s="2">
        <v>32536</v>
      </c>
      <c r="C209" s="1">
        <f>(teraterm[[#This Row],[Value(V)]]+$K$2)*$S$2</f>
        <v>-252.221923828125</v>
      </c>
      <c r="D209" s="1">
        <f>(teraterm[[#This Row],[Column2]]-Q$4)*$S$3*1000</f>
        <v>13238.932291666666</v>
      </c>
      <c r="E209" s="1">
        <f>IF(ABS(VALUE(teraterm[[#This Row],[Column1]]))&lt;4096,VALUE(teraterm[[#This Row],[Column1]]),0)</f>
        <v>234</v>
      </c>
      <c r="F209" s="1">
        <f>teraterm[[#This Row],[V(V)]]^2</f>
        <v>63615.89885956049</v>
      </c>
    </row>
    <row r="210" spans="1:6" x14ac:dyDescent="0.25">
      <c r="A210" s="7">
        <v>223</v>
      </c>
      <c r="B210" s="2">
        <v>31651</v>
      </c>
      <c r="C210" s="1">
        <f>(teraterm[[#This Row],[Value(V)]]+$K$2)*$S$2</f>
        <v>-253.2249755859375</v>
      </c>
      <c r="D210" s="1">
        <f>(teraterm[[#This Row],[Column2]]-Q$4)*$S$3*1000</f>
        <v>12878.824869791666</v>
      </c>
      <c r="E210" s="1">
        <f>IF(ABS(VALUE(teraterm[[#This Row],[Column1]]))&lt;4096,VALUE(teraterm[[#This Row],[Column1]]),0)</f>
        <v>223</v>
      </c>
      <c r="F210" s="1">
        <f>teraterm[[#This Row],[V(V)]]^2</f>
        <v>64122.888260498643</v>
      </c>
    </row>
    <row r="211" spans="1:6" x14ac:dyDescent="0.25">
      <c r="A211" s="7">
        <v>218</v>
      </c>
      <c r="B211" s="2">
        <v>32300</v>
      </c>
      <c r="C211" s="1">
        <f>(teraterm[[#This Row],[Value(V)]]+$K$2)*$S$2</f>
        <v>-253.680908203125</v>
      </c>
      <c r="D211" s="1">
        <f>(teraterm[[#This Row],[Column2]]-Q$4)*$S$3*1000</f>
        <v>13142.903645833332</v>
      </c>
      <c r="E211" s="1">
        <f>IF(ABS(VALUE(teraterm[[#This Row],[Column1]]))&lt;4096,VALUE(teraterm[[#This Row],[Column1]]),0)</f>
        <v>218</v>
      </c>
      <c r="F211" s="1">
        <f>teraterm[[#This Row],[V(V)]]^2</f>
        <v>64354.003186762333</v>
      </c>
    </row>
    <row r="212" spans="1:6" x14ac:dyDescent="0.25">
      <c r="A212" s="7">
        <v>228</v>
      </c>
      <c r="B212" s="2">
        <v>-28765</v>
      </c>
      <c r="C212" s="1">
        <f>(teraterm[[#This Row],[Value(V)]]+$K$2)*$S$2</f>
        <v>-252.76904296875</v>
      </c>
      <c r="D212" s="1">
        <f>(teraterm[[#This Row],[Column2]]-Q$4)*$S$3*1000</f>
        <v>-11704.508463541666</v>
      </c>
      <c r="E212" s="1">
        <f>IF(ABS(VALUE(teraterm[[#This Row],[Column1]]))&lt;4096,VALUE(teraterm[[#This Row],[Column1]]),0)</f>
        <v>228</v>
      </c>
      <c r="F212" s="1">
        <f>teraterm[[#This Row],[V(V)]]^2</f>
        <v>63892.189083337784</v>
      </c>
    </row>
    <row r="213" spans="1:6" x14ac:dyDescent="0.25">
      <c r="A213" s="7">
        <v>282</v>
      </c>
      <c r="B213" s="2">
        <v>-13091</v>
      </c>
      <c r="C213" s="1">
        <f>(teraterm[[#This Row],[Value(V)]]+$K$2)*$S$2</f>
        <v>-247.844970703125</v>
      </c>
      <c r="D213" s="1">
        <f>(teraterm[[#This Row],[Column2]]-Q$4)*$S$3*1000</f>
        <v>-5326.741536458333</v>
      </c>
      <c r="E213" s="1">
        <f>IF(ABS(VALUE(teraterm[[#This Row],[Column1]]))&lt;4096,VALUE(teraterm[[#This Row],[Column1]]),0)</f>
        <v>282</v>
      </c>
      <c r="F213" s="1">
        <f>teraterm[[#This Row],[V(V)]]^2</f>
        <v>61427.12950283289</v>
      </c>
    </row>
    <row r="214" spans="1:6" x14ac:dyDescent="0.25">
      <c r="A214" s="7">
        <v>433</v>
      </c>
      <c r="B214" s="2">
        <v>27257</v>
      </c>
      <c r="C214" s="1">
        <f>(teraterm[[#This Row],[Value(V)]]+$K$2)*$S$2</f>
        <v>-234.0758056640625</v>
      </c>
      <c r="D214" s="1">
        <f>(teraterm[[#This Row],[Column2]]-Q$4)*$S$3*1000</f>
        <v>11090.901692708332</v>
      </c>
      <c r="E214" s="1">
        <f>IF(ABS(VALUE(teraterm[[#This Row],[Column1]]))&lt;4096,VALUE(teraterm[[#This Row],[Column1]]),0)</f>
        <v>433</v>
      </c>
      <c r="F214" s="1">
        <f>teraterm[[#This Row],[V(V)]]^2</f>
        <v>54791.482797279954</v>
      </c>
    </row>
    <row r="215" spans="1:6" x14ac:dyDescent="0.25">
      <c r="A215" s="7">
        <v>641</v>
      </c>
      <c r="B215" s="2">
        <v>16446</v>
      </c>
      <c r="C215" s="1">
        <f>(teraterm[[#This Row],[Value(V)]]+$K$2)*$S$2</f>
        <v>-215.1090087890625</v>
      </c>
      <c r="D215" s="1">
        <f>(teraterm[[#This Row],[Column2]]-Q$4)*$S$3*1000</f>
        <v>6691.8945312499991</v>
      </c>
      <c r="E215" s="1">
        <f>IF(ABS(VALUE(teraterm[[#This Row],[Column1]]))&lt;4096,VALUE(teraterm[[#This Row],[Column1]]),0)</f>
        <v>641</v>
      </c>
      <c r="F215" s="1">
        <f>teraterm[[#This Row],[V(V)]]^2</f>
        <v>46271.885662212968</v>
      </c>
    </row>
    <row r="216" spans="1:6" x14ac:dyDescent="0.25">
      <c r="A216" s="7">
        <v>843</v>
      </c>
      <c r="B216" s="2">
        <v>3891</v>
      </c>
      <c r="C216" s="1">
        <f>(teraterm[[#This Row],[Value(V)]]+$K$2)*$S$2</f>
        <v>-196.6893310546875</v>
      </c>
      <c r="D216" s="1">
        <f>(teraterm[[#This Row],[Column2]]-Q$4)*$S$3*1000</f>
        <v>1583.2519531249998</v>
      </c>
      <c r="E216" s="1">
        <f>IF(ABS(VALUE(teraterm[[#This Row],[Column1]]))&lt;4096,VALUE(teraterm[[#This Row],[Column1]]),0)</f>
        <v>843</v>
      </c>
      <c r="F216" s="1">
        <f>teraterm[[#This Row],[V(V)]]^2</f>
        <v>38686.692950740457</v>
      </c>
    </row>
    <row r="217" spans="1:6" x14ac:dyDescent="0.25">
      <c r="A217" s="7">
        <v>1067</v>
      </c>
      <c r="B217" s="2">
        <v>-3261</v>
      </c>
      <c r="C217" s="1">
        <f>(teraterm[[#This Row],[Value(V)]]+$K$2)*$S$2</f>
        <v>-176.2635498046875</v>
      </c>
      <c r="D217" s="1">
        <f>(teraterm[[#This Row],[Column2]]-Q$4)*$S$3*1000</f>
        <v>-1326.9042968749998</v>
      </c>
      <c r="E217" s="1">
        <f>IF(ABS(VALUE(teraterm[[#This Row],[Column1]]))&lt;4096,VALUE(teraterm[[#This Row],[Column1]]),0)</f>
        <v>1067</v>
      </c>
      <c r="F217" s="1">
        <f>teraterm[[#This Row],[V(V)]]^2</f>
        <v>31068.838989749551</v>
      </c>
    </row>
    <row r="218" spans="1:6" x14ac:dyDescent="0.25">
      <c r="A218" s="7">
        <v>1316</v>
      </c>
      <c r="B218" s="2">
        <v>-4266</v>
      </c>
      <c r="C218" s="1">
        <f>(teraterm[[#This Row],[Value(V)]]+$K$2)*$S$2</f>
        <v>-153.55810546875</v>
      </c>
      <c r="D218" s="1">
        <f>(teraterm[[#This Row],[Column2]]-Q$4)*$S$3*1000</f>
        <v>-1735.8398437499998</v>
      </c>
      <c r="E218" s="1">
        <f>IF(ABS(VALUE(teraterm[[#This Row],[Column1]]))&lt;4096,VALUE(teraterm[[#This Row],[Column1]]),0)</f>
        <v>1316</v>
      </c>
      <c r="F218" s="1">
        <f>teraterm[[#This Row],[V(V)]]^2</f>
        <v>23580.091755151749</v>
      </c>
    </row>
    <row r="219" spans="1:6" x14ac:dyDescent="0.25">
      <c r="A219" s="7">
        <v>1560</v>
      </c>
      <c r="B219" s="2">
        <v>-6798</v>
      </c>
      <c r="C219" s="1">
        <f>(teraterm[[#This Row],[Value(V)]]+$K$2)*$S$2</f>
        <v>-131.30859375</v>
      </c>
      <c r="D219" s="1">
        <f>(teraterm[[#This Row],[Column2]]-Q$4)*$S$3*1000</f>
        <v>-2766.1132812499995</v>
      </c>
      <c r="E219" s="1">
        <f>IF(ABS(VALUE(teraterm[[#This Row],[Column1]]))&lt;4096,VALUE(teraterm[[#This Row],[Column1]]),0)</f>
        <v>1560</v>
      </c>
      <c r="F219" s="1">
        <f>teraterm[[#This Row],[V(V)]]^2</f>
        <v>17241.946792602539</v>
      </c>
    </row>
    <row r="220" spans="1:6" x14ac:dyDescent="0.25">
      <c r="A220" s="7">
        <v>1820</v>
      </c>
      <c r="B220" s="2">
        <v>-5496</v>
      </c>
      <c r="C220" s="1">
        <f>(teraterm[[#This Row],[Value(V)]]+$K$2)*$S$2</f>
        <v>-107.60009765625</v>
      </c>
      <c r="D220" s="1">
        <f>(teraterm[[#This Row],[Column2]]-Q$4)*$S$3*1000</f>
        <v>-2236.328125</v>
      </c>
      <c r="E220" s="1">
        <f>IF(ABS(VALUE(teraterm[[#This Row],[Column1]]))&lt;4096,VALUE(teraterm[[#This Row],[Column1]]),0)</f>
        <v>1820</v>
      </c>
      <c r="F220" s="1">
        <f>teraterm[[#This Row],[V(V)]]^2</f>
        <v>11577.781015634537</v>
      </c>
    </row>
    <row r="221" spans="1:6" x14ac:dyDescent="0.25">
      <c r="A221" s="7">
        <v>2106</v>
      </c>
      <c r="B221" s="2">
        <v>2175</v>
      </c>
      <c r="C221" s="1">
        <f>(teraterm[[#This Row],[Value(V)]]+$K$2)*$S$2</f>
        <v>-81.520751953125</v>
      </c>
      <c r="D221" s="1">
        <f>(teraterm[[#This Row],[Column2]]-Q$4)*$S$3*1000</f>
        <v>885.00976562499989</v>
      </c>
      <c r="E221" s="1">
        <f>IF(ABS(VALUE(teraterm[[#This Row],[Column1]]))&lt;4096,VALUE(teraterm[[#This Row],[Column1]]),0)</f>
        <v>2106</v>
      </c>
      <c r="F221" s="1">
        <f>teraterm[[#This Row],[V(V)]]^2</f>
        <v>6645.6329990029335</v>
      </c>
    </row>
    <row r="222" spans="1:6" x14ac:dyDescent="0.25">
      <c r="A222" s="7">
        <v>2383</v>
      </c>
      <c r="B222" s="2">
        <v>7265</v>
      </c>
      <c r="C222" s="1">
        <f>(teraterm[[#This Row],[Value(V)]]+$K$2)*$S$2</f>
        <v>-56.2620849609375</v>
      </c>
      <c r="D222" s="1">
        <f>(teraterm[[#This Row],[Column2]]-Q$4)*$S$3*1000</f>
        <v>2956.136067708333</v>
      </c>
      <c r="E222" s="1">
        <f>IF(ABS(VALUE(teraterm[[#This Row],[Column1]]))&lt;4096,VALUE(teraterm[[#This Row],[Column1]]),0)</f>
        <v>2383</v>
      </c>
      <c r="F222" s="1">
        <f>teraterm[[#This Row],[V(V)]]^2</f>
        <v>3165.4222041517496</v>
      </c>
    </row>
    <row r="223" spans="1:6" x14ac:dyDescent="0.25">
      <c r="A223" s="7">
        <v>2626</v>
      </c>
      <c r="B223" s="2">
        <v>3409</v>
      </c>
      <c r="C223" s="1">
        <f>(teraterm[[#This Row],[Value(V)]]+$K$2)*$S$2</f>
        <v>-34.103759765625</v>
      </c>
      <c r="D223" s="1">
        <f>(teraterm[[#This Row],[Column2]]-Q$4)*$S$3*1000</f>
        <v>1387.1256510416665</v>
      </c>
      <c r="E223" s="1">
        <f>IF(ABS(VALUE(teraterm[[#This Row],[Column1]]))&lt;4096,VALUE(teraterm[[#This Row],[Column1]]),0)</f>
        <v>2626</v>
      </c>
      <c r="F223" s="1">
        <f>teraterm[[#This Row],[V(V)]]^2</f>
        <v>1163.0664301514626</v>
      </c>
    </row>
    <row r="224" spans="1:6" x14ac:dyDescent="0.25">
      <c r="A224" s="7">
        <v>2876</v>
      </c>
      <c r="B224" s="2">
        <v>1097</v>
      </c>
      <c r="C224" s="1">
        <f>(teraterm[[#This Row],[Value(V)]]+$K$2)*$S$2</f>
        <v>-11.30712890625</v>
      </c>
      <c r="D224" s="1">
        <f>(teraterm[[#This Row],[Column2]]-Q$4)*$S$3*1000</f>
        <v>446.37044270833331</v>
      </c>
      <c r="E224" s="1">
        <f>IF(ABS(VALUE(teraterm[[#This Row],[Column1]]))&lt;4096,VALUE(teraterm[[#This Row],[Column1]]),0)</f>
        <v>2876</v>
      </c>
      <c r="F224" s="1">
        <f>teraterm[[#This Row],[V(V)]]^2</f>
        <v>127.85116410255432</v>
      </c>
    </row>
    <row r="225" spans="1:6" x14ac:dyDescent="0.25">
      <c r="A225" s="7">
        <v>3117</v>
      </c>
      <c r="B225" s="2">
        <v>-3757</v>
      </c>
      <c r="C225" s="1">
        <f>(teraterm[[#This Row],[Value(V)]]+$K$2)*$S$2</f>
        <v>10.6688232421875</v>
      </c>
      <c r="D225" s="1">
        <f>(teraterm[[#This Row],[Column2]]-Q$4)*$S$3*1000</f>
        <v>-1528.7272135416665</v>
      </c>
      <c r="E225" s="1">
        <f>IF(ABS(VALUE(teraterm[[#This Row],[Column1]]))&lt;4096,VALUE(teraterm[[#This Row],[Column1]]),0)</f>
        <v>3117</v>
      </c>
      <c r="F225" s="1">
        <f>teraterm[[#This Row],[V(V)]]^2</f>
        <v>113.8237893730402</v>
      </c>
    </row>
    <row r="226" spans="1:6" x14ac:dyDescent="0.25">
      <c r="A226" s="7">
        <v>3332</v>
      </c>
      <c r="B226" s="2">
        <v>-15478</v>
      </c>
      <c r="C226" s="1">
        <f>(teraterm[[#This Row],[Value(V)]]+$K$2)*$S$2</f>
        <v>30.27392578125</v>
      </c>
      <c r="D226" s="1">
        <f>(teraterm[[#This Row],[Column2]]-Q$4)*$S$3*1000</f>
        <v>-6298.0143229166661</v>
      </c>
      <c r="E226" s="1">
        <f>IF(ABS(VALUE(teraterm[[#This Row],[Column1]]))&lt;4096,VALUE(teraterm[[#This Row],[Column1]]),0)</f>
        <v>3332</v>
      </c>
      <c r="F226" s="1">
        <f>teraterm[[#This Row],[V(V)]]^2</f>
        <v>916.51058220863342</v>
      </c>
    </row>
    <row r="227" spans="1:6" x14ac:dyDescent="0.25">
      <c r="A227" s="7">
        <v>3539</v>
      </c>
      <c r="B227" s="2">
        <v>-29449</v>
      </c>
      <c r="C227" s="1">
        <f>(teraterm[[#This Row],[Value(V)]]+$K$2)*$S$2</f>
        <v>49.1495361328125</v>
      </c>
      <c r="D227" s="1">
        <f>(teraterm[[#This Row],[Column2]]-Q$4)*$S$3*1000</f>
        <v>-11982.828776041666</v>
      </c>
      <c r="E227" s="1">
        <f>IF(ABS(VALUE(teraterm[[#This Row],[Column1]]))&lt;4096,VALUE(teraterm[[#This Row],[Column1]]),0)</f>
        <v>3539</v>
      </c>
      <c r="F227" s="1">
        <f>teraterm[[#This Row],[V(V)]]^2</f>
        <v>2415.6769020706415</v>
      </c>
    </row>
    <row r="228" spans="1:6" x14ac:dyDescent="0.25">
      <c r="A228" s="7">
        <v>3720</v>
      </c>
      <c r="B228" s="2">
        <v>15285</v>
      </c>
      <c r="C228" s="1">
        <f>(teraterm[[#This Row],[Value(V)]]+$K$2)*$S$2</f>
        <v>65.654296875</v>
      </c>
      <c r="D228" s="1">
        <f>(teraterm[[#This Row],[Column2]]-Q$4)*$S$3*1000</f>
        <v>6219.4824218749991</v>
      </c>
      <c r="E228" s="1">
        <f>IF(ABS(VALUE(teraterm[[#This Row],[Column1]]))&lt;4096,VALUE(teraterm[[#This Row],[Column1]]),0)</f>
        <v>3720</v>
      </c>
      <c r="F228" s="1">
        <f>teraterm[[#This Row],[V(V)]]^2</f>
        <v>4310.4866981506348</v>
      </c>
    </row>
    <row r="229" spans="1:6" x14ac:dyDescent="0.25">
      <c r="A229" s="7">
        <v>3862</v>
      </c>
      <c r="B229" s="2">
        <v>-15637</v>
      </c>
      <c r="C229" s="1">
        <f>(teraterm[[#This Row],[Value(V)]]+$K$2)*$S$2</f>
        <v>78.602783203125</v>
      </c>
      <c r="D229" s="1">
        <f>(teraterm[[#This Row],[Column2]]-Q$4)*$S$3*1000</f>
        <v>-6362.7115885416661</v>
      </c>
      <c r="E229" s="1">
        <f>IF(ABS(VALUE(teraterm[[#This Row],[Column1]]))&lt;4096,VALUE(teraterm[[#This Row],[Column1]]),0)</f>
        <v>3862</v>
      </c>
      <c r="F229" s="1">
        <f>teraterm[[#This Row],[V(V)]]^2</f>
        <v>6178.3975272774696</v>
      </c>
    </row>
    <row r="230" spans="1:6" x14ac:dyDescent="0.25">
      <c r="A230" s="7">
        <v>3964</v>
      </c>
      <c r="B230" s="2">
        <v>8642</v>
      </c>
      <c r="C230" s="1">
        <f>(teraterm[[#This Row],[Value(V)]]+$K$2)*$S$2</f>
        <v>87.90380859375</v>
      </c>
      <c r="D230" s="1">
        <f>(teraterm[[#This Row],[Column2]]-Q$4)*$S$3*1000</f>
        <v>3516.438802083333</v>
      </c>
      <c r="E230" s="1">
        <f>IF(ABS(VALUE(teraterm[[#This Row],[Column1]]))&lt;4096,VALUE(teraterm[[#This Row],[Column1]]),0)</f>
        <v>3964</v>
      </c>
      <c r="F230" s="1">
        <f>teraterm[[#This Row],[V(V)]]^2</f>
        <v>7727.0795652866364</v>
      </c>
    </row>
    <row r="231" spans="1:6" x14ac:dyDescent="0.25">
      <c r="A231" s="7">
        <v>4010</v>
      </c>
      <c r="B231" s="2">
        <v>18546</v>
      </c>
      <c r="C231" s="1">
        <f>(teraterm[[#This Row],[Value(V)]]+$K$2)*$S$2</f>
        <v>92.098388671875</v>
      </c>
      <c r="D231" s="1">
        <f>(teraterm[[#This Row],[Column2]]-Q$4)*$S$3*1000</f>
        <v>7546.3867187499991</v>
      </c>
      <c r="E231" s="1">
        <f>IF(ABS(VALUE(teraterm[[#This Row],[Column1]]))&lt;4096,VALUE(teraterm[[#This Row],[Column1]]),0)</f>
        <v>4010</v>
      </c>
      <c r="F231" s="1">
        <f>teraterm[[#This Row],[V(V)]]^2</f>
        <v>8482.1131959557533</v>
      </c>
    </row>
    <row r="232" spans="1:6" x14ac:dyDescent="0.25">
      <c r="A232" s="7">
        <v>4029</v>
      </c>
      <c r="B232" s="2">
        <v>21526</v>
      </c>
      <c r="C232" s="1">
        <f>(teraterm[[#This Row],[Value(V)]]+$K$2)*$S$2</f>
        <v>93.8309326171875</v>
      </c>
      <c r="D232" s="1">
        <f>(teraterm[[#This Row],[Column2]]-Q$4)*$S$3*1000</f>
        <v>8758.9518229166661</v>
      </c>
      <c r="E232" s="1">
        <f>IF(ABS(VALUE(teraterm[[#This Row],[Column1]]))&lt;4096,VALUE(teraterm[[#This Row],[Column1]]),0)</f>
        <v>4029</v>
      </c>
      <c r="F232" s="1">
        <f>teraterm[[#This Row],[V(V)]]^2</f>
        <v>8804.2439158111811</v>
      </c>
    </row>
    <row r="233" spans="1:6" x14ac:dyDescent="0.25">
      <c r="A233" s="7">
        <v>4041</v>
      </c>
      <c r="B233" s="2">
        <v>22709</v>
      </c>
      <c r="C233" s="1">
        <f>(teraterm[[#This Row],[Value(V)]]+$K$2)*$S$2</f>
        <v>94.9251708984375</v>
      </c>
      <c r="D233" s="1">
        <f>(teraterm[[#This Row],[Column2]]-Q$4)*$S$3*1000</f>
        <v>9240.3157552083321</v>
      </c>
      <c r="E233" s="1">
        <f>IF(ABS(VALUE(teraterm[[#This Row],[Column1]]))&lt;4096,VALUE(teraterm[[#This Row],[Column1]]),0)</f>
        <v>4041</v>
      </c>
      <c r="F233" s="1">
        <f>teraterm[[#This Row],[V(V)]]^2</f>
        <v>9010.7880700975657</v>
      </c>
    </row>
    <row r="234" spans="1:6" x14ac:dyDescent="0.25">
      <c r="A234" s="7">
        <v>4045</v>
      </c>
      <c r="B234" s="2">
        <v>21848</v>
      </c>
      <c r="C234" s="1">
        <f>(teraterm[[#This Row],[Value(V)]]+$K$2)*$S$2</f>
        <v>95.2899169921875</v>
      </c>
      <c r="D234" s="1">
        <f>(teraterm[[#This Row],[Column2]]-Q$4)*$S$3*1000</f>
        <v>8889.9739583333321</v>
      </c>
      <c r="E234" s="1">
        <f>IF(ABS(VALUE(teraterm[[#This Row],[Column1]]))&lt;4096,VALUE(teraterm[[#This Row],[Column1]]),0)</f>
        <v>4045</v>
      </c>
      <c r="F234" s="1">
        <f>teraterm[[#This Row],[V(V)]]^2</f>
        <v>9080.168280377984</v>
      </c>
    </row>
    <row r="235" spans="1:6" x14ac:dyDescent="0.25">
      <c r="A235" s="7">
        <v>4023</v>
      </c>
      <c r="B235" s="2">
        <v>14360</v>
      </c>
      <c r="C235" s="1">
        <f>(teraterm[[#This Row],[Value(V)]]+$K$2)*$S$2</f>
        <v>93.2838134765625</v>
      </c>
      <c r="D235" s="1">
        <f>(teraterm[[#This Row],[Column2]]-Q$4)*$S$3*1000</f>
        <v>5843.098958333333</v>
      </c>
      <c r="E235" s="1">
        <f>IF(ABS(VALUE(teraterm[[#This Row],[Column1]]))&lt;4096,VALUE(teraterm[[#This Row],[Column1]]),0)</f>
        <v>4023</v>
      </c>
      <c r="F235" s="1">
        <f>teraterm[[#This Row],[V(V)]]^2</f>
        <v>8701.8698567301035</v>
      </c>
    </row>
    <row r="236" spans="1:6" x14ac:dyDescent="0.25">
      <c r="A236" s="7">
        <v>3917</v>
      </c>
      <c r="B236" s="2">
        <v>-14519</v>
      </c>
      <c r="C236" s="1">
        <f>(teraterm[[#This Row],[Value(V)]]+$K$2)*$S$2</f>
        <v>83.6180419921875</v>
      </c>
      <c r="D236" s="1">
        <f>(teraterm[[#This Row],[Column2]]-Q$4)*$S$3*1000</f>
        <v>-5907.796223958333</v>
      </c>
      <c r="E236" s="1">
        <f>IF(ABS(VALUE(teraterm[[#This Row],[Column1]]))&lt;4096,VALUE(teraterm[[#This Row],[Column1]]),0)</f>
        <v>3917</v>
      </c>
      <c r="F236" s="1">
        <f>teraterm[[#This Row],[V(V)]]^2</f>
        <v>6991.9769466072321</v>
      </c>
    </row>
    <row r="237" spans="1:6" x14ac:dyDescent="0.25">
      <c r="A237" s="7">
        <v>3725</v>
      </c>
      <c r="B237" s="2">
        <v>321</v>
      </c>
      <c r="C237" s="1">
        <f>(teraterm[[#This Row],[Value(V)]]+$K$2)*$S$2</f>
        <v>66.1102294921875</v>
      </c>
      <c r="D237" s="1">
        <f>(teraterm[[#This Row],[Column2]]-Q$4)*$S$3*1000</f>
        <v>130.615234375</v>
      </c>
      <c r="E237" s="1">
        <f>IF(ABS(VALUE(teraterm[[#This Row],[Column1]]))&lt;4096,VALUE(teraterm[[#This Row],[Column1]]),0)</f>
        <v>3725</v>
      </c>
      <c r="F237" s="1">
        <f>teraterm[[#This Row],[V(V)]]^2</f>
        <v>4370.5624435096979</v>
      </c>
    </row>
    <row r="238" spans="1:6" x14ac:dyDescent="0.25">
      <c r="A238" s="7">
        <v>3536</v>
      </c>
      <c r="B238" s="2">
        <v>16124</v>
      </c>
      <c r="C238" s="1">
        <f>(teraterm[[#This Row],[Value(V)]]+$K$2)*$S$2</f>
        <v>48.8759765625</v>
      </c>
      <c r="D238" s="1">
        <f>(teraterm[[#This Row],[Column2]]-Q$4)*$S$3*1000</f>
        <v>6560.872395833333</v>
      </c>
      <c r="E238" s="1">
        <f>IF(ABS(VALUE(teraterm[[#This Row],[Column1]]))&lt;4096,VALUE(teraterm[[#This Row],[Column1]]),0)</f>
        <v>3536</v>
      </c>
      <c r="F238" s="1">
        <f>teraterm[[#This Row],[V(V)]]^2</f>
        <v>2388.8610849380493</v>
      </c>
    </row>
    <row r="239" spans="1:6" x14ac:dyDescent="0.25">
      <c r="A239" s="7">
        <v>3335</v>
      </c>
      <c r="B239" s="2">
        <v>29062</v>
      </c>
      <c r="C239" s="1">
        <f>(teraterm[[#This Row],[Value(V)]]+$K$2)*$S$2</f>
        <v>30.5474853515625</v>
      </c>
      <c r="D239" s="1">
        <f>(teraterm[[#This Row],[Column2]]-Q$4)*$S$3*1000</f>
        <v>11825.358072916666</v>
      </c>
      <c r="E239" s="1">
        <f>IF(ABS(VALUE(teraterm[[#This Row],[Column1]]))&lt;4096,VALUE(teraterm[[#This Row],[Column1]]),0)</f>
        <v>3335</v>
      </c>
      <c r="F239" s="1">
        <f>teraterm[[#This Row],[V(V)]]^2</f>
        <v>933.14886130392551</v>
      </c>
    </row>
    <row r="240" spans="1:6" x14ac:dyDescent="0.25">
      <c r="A240" s="7">
        <v>3097</v>
      </c>
      <c r="B240" s="2">
        <v>-32766</v>
      </c>
      <c r="C240" s="1">
        <f>(teraterm[[#This Row],[Value(V)]]+$K$2)*$S$2</f>
        <v>8.8450927734375</v>
      </c>
      <c r="D240" s="1">
        <f>(teraterm[[#This Row],[Column2]]-Q$4)*$S$3*1000</f>
        <v>-13332.519531249998</v>
      </c>
      <c r="E240" s="1">
        <f>IF(ABS(VALUE(teraterm[[#This Row],[Column1]]))&lt;4096,VALUE(teraterm[[#This Row],[Column1]]),0)</f>
        <v>3097</v>
      </c>
      <c r="F240" s="1">
        <f>teraterm[[#This Row],[V(V)]]^2</f>
        <v>78.235666170716286</v>
      </c>
    </row>
    <row r="241" spans="1:6" x14ac:dyDescent="0.25">
      <c r="A241" s="7">
        <v>2859</v>
      </c>
      <c r="B241" s="2">
        <v>-28817</v>
      </c>
      <c r="C241" s="1">
        <f>(teraterm[[#This Row],[Value(V)]]+$K$2)*$S$2</f>
        <v>-12.8572998046875</v>
      </c>
      <c r="D241" s="1">
        <f>(teraterm[[#This Row],[Column2]]-Q$4)*$S$3*1000</f>
        <v>-11725.667317708332</v>
      </c>
      <c r="E241" s="1">
        <f>IF(ABS(VALUE(teraterm[[#This Row],[Column1]]))&lt;4096,VALUE(teraterm[[#This Row],[Column1]]),0)</f>
        <v>2859</v>
      </c>
      <c r="F241" s="1">
        <f>teraterm[[#This Row],[V(V)]]^2</f>
        <v>165.31015826761723</v>
      </c>
    </row>
    <row r="242" spans="1:6" x14ac:dyDescent="0.25">
      <c r="A242" s="7">
        <v>2611</v>
      </c>
      <c r="B242" s="2">
        <v>-27177</v>
      </c>
      <c r="C242" s="1">
        <f>(teraterm[[#This Row],[Value(V)]]+$K$2)*$S$2</f>
        <v>-35.4715576171875</v>
      </c>
      <c r="D242" s="1">
        <f>(teraterm[[#This Row],[Column2]]-Q$4)*$S$3*1000</f>
        <v>-11058.349609374998</v>
      </c>
      <c r="E242" s="1">
        <f>IF(ABS(VALUE(teraterm[[#This Row],[Column1]]))&lt;4096,VALUE(teraterm[[#This Row],[Column1]]),0)</f>
        <v>2611</v>
      </c>
      <c r="F242" s="1">
        <f>teraterm[[#This Row],[V(V)]]^2</f>
        <v>1258.2313997894526</v>
      </c>
    </row>
    <row r="243" spans="1:6" x14ac:dyDescent="0.25">
      <c r="A243" s="7">
        <v>2331</v>
      </c>
      <c r="B243" s="2">
        <v>32089</v>
      </c>
      <c r="C243" s="1">
        <f>(teraterm[[#This Row],[Value(V)]]+$K$2)*$S$2</f>
        <v>-61.0037841796875</v>
      </c>
      <c r="D243" s="1">
        <f>(teraterm[[#This Row],[Column2]]-Q$4)*$S$3*1000</f>
        <v>13057.047526041666</v>
      </c>
      <c r="E243" s="1">
        <f>IF(ABS(VALUE(teraterm[[#This Row],[Column1]]))&lt;4096,VALUE(teraterm[[#This Row],[Column1]]),0)</f>
        <v>2331</v>
      </c>
      <c r="F243" s="1">
        <f>teraterm[[#This Row],[V(V)]]^2</f>
        <v>3721.4616842418909</v>
      </c>
    </row>
    <row r="244" spans="1:6" x14ac:dyDescent="0.25">
      <c r="A244" s="7">
        <v>2048</v>
      </c>
      <c r="B244" s="2">
        <v>25334</v>
      </c>
      <c r="C244" s="1">
        <f>(teraterm[[#This Row],[Value(V)]]+$K$2)*$S$2</f>
        <v>-86.8095703125</v>
      </c>
      <c r="D244" s="1">
        <f>(teraterm[[#This Row],[Column2]]-Q$4)*$S$3*1000</f>
        <v>10308.430989583332</v>
      </c>
      <c r="E244" s="1">
        <f>IF(ABS(VALUE(teraterm[[#This Row],[Column1]]))&lt;4096,VALUE(teraterm[[#This Row],[Column1]]),0)</f>
        <v>2048</v>
      </c>
      <c r="F244" s="1">
        <f>teraterm[[#This Row],[V(V)]]^2</f>
        <v>7535.9014978408813</v>
      </c>
    </row>
    <row r="245" spans="1:6" x14ac:dyDescent="0.25">
      <c r="A245" s="7">
        <v>1788</v>
      </c>
      <c r="B245" s="2">
        <v>24727</v>
      </c>
      <c r="C245" s="1">
        <f>(teraterm[[#This Row],[Value(V)]]+$K$2)*$S$2</f>
        <v>-110.51806640625</v>
      </c>
      <c r="D245" s="1">
        <f>(teraterm[[#This Row],[Column2]]-Q$4)*$S$3*1000</f>
        <v>10061.442057291666</v>
      </c>
      <c r="E245" s="1">
        <f>IF(ABS(VALUE(teraterm[[#This Row],[Column1]]))&lt;4096,VALUE(teraterm[[#This Row],[Column1]]),0)</f>
        <v>1788</v>
      </c>
      <c r="F245" s="1">
        <f>teraterm[[#This Row],[V(V)]]^2</f>
        <v>12214.243002176285</v>
      </c>
    </row>
    <row r="246" spans="1:6" x14ac:dyDescent="0.25">
      <c r="A246" s="7">
        <v>1531</v>
      </c>
      <c r="B246" s="2">
        <v>25143</v>
      </c>
      <c r="C246" s="1">
        <f>(teraterm[[#This Row],[Value(V)]]+$K$2)*$S$2</f>
        <v>-133.9530029296875</v>
      </c>
      <c r="D246" s="1">
        <f>(teraterm[[#This Row],[Column2]]-Q$4)*$S$3*1000</f>
        <v>10230.712890624998</v>
      </c>
      <c r="E246" s="1">
        <f>IF(ABS(VALUE(teraterm[[#This Row],[Column1]]))&lt;4096,VALUE(teraterm[[#This Row],[Column1]]),0)</f>
        <v>1531</v>
      </c>
      <c r="F246" s="1">
        <f>teraterm[[#This Row],[V(V)]]^2</f>
        <v>17943.406993880868</v>
      </c>
    </row>
    <row r="247" spans="1:6" x14ac:dyDescent="0.25">
      <c r="A247" s="7">
        <v>1276</v>
      </c>
      <c r="B247" s="2">
        <v>26323</v>
      </c>
      <c r="C247" s="1">
        <f>(teraterm[[#This Row],[Value(V)]]+$K$2)*$S$2</f>
        <v>-157.20556640625</v>
      </c>
      <c r="D247" s="1">
        <f>(teraterm[[#This Row],[Column2]]-Q$4)*$S$3*1000</f>
        <v>10710.856119791666</v>
      </c>
      <c r="E247" s="1">
        <f>IF(ABS(VALUE(teraterm[[#This Row],[Column1]]))&lt;4096,VALUE(teraterm[[#This Row],[Column1]]),0)</f>
        <v>1276</v>
      </c>
      <c r="F247" s="1">
        <f>teraterm[[#This Row],[V(V)]]^2</f>
        <v>24713.590109109879</v>
      </c>
    </row>
    <row r="248" spans="1:6" x14ac:dyDescent="0.25">
      <c r="A248" s="7">
        <v>1041</v>
      </c>
      <c r="B248" s="2">
        <v>-32681</v>
      </c>
      <c r="C248" s="1">
        <f>(teraterm[[#This Row],[Value(V)]]+$K$2)*$S$2</f>
        <v>-178.6343994140625</v>
      </c>
      <c r="D248" s="1">
        <f>(teraterm[[#This Row],[Column2]]-Q$4)*$S$3*1000</f>
        <v>-13297.932942708332</v>
      </c>
      <c r="E248" s="1">
        <f>IF(ABS(VALUE(teraterm[[#This Row],[Column1]]))&lt;4096,VALUE(teraterm[[#This Row],[Column1]]),0)</f>
        <v>1041</v>
      </c>
      <c r="F248" s="1">
        <f>teraterm[[#This Row],[V(V)]]^2</f>
        <v>31910.248654022813</v>
      </c>
    </row>
    <row r="249" spans="1:6" x14ac:dyDescent="0.25">
      <c r="A249" s="7">
        <v>821</v>
      </c>
      <c r="B249" s="2">
        <v>-22094</v>
      </c>
      <c r="C249" s="1">
        <f>(teraterm[[#This Row],[Value(V)]]+$K$2)*$S$2</f>
        <v>-198.6954345703125</v>
      </c>
      <c r="D249" s="1">
        <f>(teraterm[[#This Row],[Column2]]-Q$4)*$S$3*1000</f>
        <v>-8990.0716145833321</v>
      </c>
      <c r="E249" s="1">
        <f>IF(ABS(VALUE(teraterm[[#This Row],[Column1]]))&lt;4096,VALUE(teraterm[[#This Row],[Column1]]),0)</f>
        <v>821</v>
      </c>
      <c r="F249" s="1">
        <f>teraterm[[#This Row],[V(V)]]^2</f>
        <v>39479.875719085336</v>
      </c>
    </row>
    <row r="250" spans="1:6" x14ac:dyDescent="0.25">
      <c r="A250" s="7">
        <v>615</v>
      </c>
      <c r="B250" s="2">
        <v>-7722</v>
      </c>
      <c r="C250" s="1">
        <f>(teraterm[[#This Row],[Value(V)]]+$K$2)*$S$2</f>
        <v>-217.4798583984375</v>
      </c>
      <c r="D250" s="1">
        <f>(teraterm[[#This Row],[Column2]]-Q$4)*$S$3*1000</f>
        <v>-3142.0898437499995</v>
      </c>
      <c r="E250" s="1">
        <f>IF(ABS(VALUE(teraterm[[#This Row],[Column1]]))&lt;4096,VALUE(teraterm[[#This Row],[Column1]]),0)</f>
        <v>615</v>
      </c>
      <c r="F250" s="1">
        <f>teraterm[[#This Row],[V(V)]]^2</f>
        <v>47297.488809004426</v>
      </c>
    </row>
    <row r="251" spans="1:6" x14ac:dyDescent="0.25">
      <c r="A251" s="7">
        <v>448</v>
      </c>
      <c r="B251" s="2">
        <v>16795</v>
      </c>
      <c r="C251" s="1">
        <f>(teraterm[[#This Row],[Value(V)]]+$K$2)*$S$2</f>
        <v>-232.7080078125</v>
      </c>
      <c r="D251" s="1">
        <f>(teraterm[[#This Row],[Column2]]-Q$4)*$S$3*1000</f>
        <v>6833.9029947916661</v>
      </c>
      <c r="E251" s="1">
        <f>IF(ABS(VALUE(teraterm[[#This Row],[Column1]]))&lt;4096,VALUE(teraterm[[#This Row],[Column1]]),0)</f>
        <v>448</v>
      </c>
      <c r="F251" s="1">
        <f>teraterm[[#This Row],[V(V)]]^2</f>
        <v>54153.016900062561</v>
      </c>
    </row>
    <row r="252" spans="1:6" x14ac:dyDescent="0.25">
      <c r="A252" s="7">
        <v>321</v>
      </c>
      <c r="B252" s="2">
        <v>-13864</v>
      </c>
      <c r="C252" s="1">
        <f>(teraterm[[#This Row],[Value(V)]]+$K$2)*$S$2</f>
        <v>-244.2886962890625</v>
      </c>
      <c r="D252" s="1">
        <f>(teraterm[[#This Row],[Column2]]-Q$4)*$S$3*1000</f>
        <v>-5641.2760416666661</v>
      </c>
      <c r="E252" s="1">
        <f>IF(ABS(VALUE(teraterm[[#This Row],[Column1]]))&lt;4096,VALUE(teraterm[[#This Row],[Column1]]),0)</f>
        <v>321</v>
      </c>
      <c r="F252" s="1">
        <f>teraterm[[#This Row],[V(V)]]^2</f>
        <v>59676.967134609818</v>
      </c>
    </row>
    <row r="253" spans="1:6" x14ac:dyDescent="0.25">
      <c r="A253" s="7">
        <v>252</v>
      </c>
      <c r="B253" s="2">
        <v>-29613</v>
      </c>
      <c r="C253" s="1">
        <f>(teraterm[[#This Row],[Value(V)]]+$K$2)*$S$2</f>
        <v>-250.58056640625</v>
      </c>
      <c r="D253" s="1">
        <f>(teraterm[[#This Row],[Column2]]-Q$4)*$S$3*1000</f>
        <v>-12049.560546874998</v>
      </c>
      <c r="E253" s="1">
        <f>IF(ABS(VALUE(teraterm[[#This Row],[Column1]]))&lt;4096,VALUE(teraterm[[#This Row],[Column1]]),0)</f>
        <v>252</v>
      </c>
      <c r="F253" s="1">
        <f>teraterm[[#This Row],[V(V)]]^2</f>
        <v>62790.620260477066</v>
      </c>
    </row>
    <row r="254" spans="1:6" x14ac:dyDescent="0.25">
      <c r="A254" s="7">
        <v>231</v>
      </c>
      <c r="B254" s="2">
        <v>32475</v>
      </c>
      <c r="C254" s="1">
        <f>(teraterm[[#This Row],[Value(V)]]+$K$2)*$S$2</f>
        <v>-252.4954833984375</v>
      </c>
      <c r="D254" s="1">
        <f>(teraterm[[#This Row],[Column2]]-Q$4)*$S$3*1000</f>
        <v>13214.111328124998</v>
      </c>
      <c r="E254" s="1">
        <f>IF(ABS(VALUE(teraterm[[#This Row],[Column1]]))&lt;4096,VALUE(teraterm[[#This Row],[Column1]]),0)</f>
        <v>231</v>
      </c>
      <c r="F254" s="1">
        <f>teraterm[[#This Row],[V(V)]]^2</f>
        <v>63753.969136610627</v>
      </c>
    </row>
    <row r="255" spans="1:6" x14ac:dyDescent="0.25">
      <c r="A255" s="7">
        <v>220</v>
      </c>
      <c r="B255" s="2">
        <v>31591</v>
      </c>
      <c r="C255" s="1">
        <f>(teraterm[[#This Row],[Value(V)]]+$K$2)*$S$2</f>
        <v>-253.49853515625</v>
      </c>
      <c r="D255" s="1">
        <f>(teraterm[[#This Row],[Column2]]-Q$4)*$S$3*1000</f>
        <v>12854.410807291666</v>
      </c>
      <c r="E255" s="1">
        <f>IF(ABS(VALUE(teraterm[[#This Row],[Column1]]))&lt;4096,VALUE(teraterm[[#This Row],[Column1]]),0)</f>
        <v>220</v>
      </c>
      <c r="F255" s="1">
        <f>teraterm[[#This Row],[V(V)]]^2</f>
        <v>64261.507326364517</v>
      </c>
    </row>
    <row r="256" spans="1:6" x14ac:dyDescent="0.25">
      <c r="A256" s="7">
        <v>218</v>
      </c>
      <c r="B256" s="2">
        <v>-32531</v>
      </c>
      <c r="C256" s="1">
        <f>(teraterm[[#This Row],[Value(V)]]+$K$2)*$S$2</f>
        <v>-253.680908203125</v>
      </c>
      <c r="D256" s="1">
        <f>(teraterm[[#This Row],[Column2]]-Q$4)*$S$3*1000</f>
        <v>-13236.897786458332</v>
      </c>
      <c r="E256" s="1">
        <f>IF(ABS(VALUE(teraterm[[#This Row],[Column1]]))&lt;4096,VALUE(teraterm[[#This Row],[Column1]]),0)</f>
        <v>218</v>
      </c>
      <c r="F256" s="1">
        <f>teraterm[[#This Row],[V(V)]]^2</f>
        <v>64354.003186762333</v>
      </c>
    </row>
    <row r="257" spans="1:6" x14ac:dyDescent="0.25">
      <c r="A257" s="7">
        <v>235</v>
      </c>
      <c r="B257" s="2">
        <v>-26277</v>
      </c>
      <c r="C257" s="1">
        <f>(teraterm[[#This Row],[Value(V)]]+$K$2)*$S$2</f>
        <v>-252.1307373046875</v>
      </c>
      <c r="D257" s="1">
        <f>(teraterm[[#This Row],[Column2]]-Q$4)*$S$3*1000</f>
        <v>-10692.138671874998</v>
      </c>
      <c r="E257" s="1">
        <f>IF(ABS(VALUE(teraterm[[#This Row],[Column1]]))&lt;4096,VALUE(teraterm[[#This Row],[Column1]]),0)</f>
        <v>235</v>
      </c>
      <c r="F257" s="1">
        <f>teraterm[[#This Row],[V(V)]]^2</f>
        <v>63569.908693805337</v>
      </c>
    </row>
    <row r="258" spans="1:6" x14ac:dyDescent="0.25">
      <c r="A258" s="7">
        <v>320</v>
      </c>
      <c r="B258" s="2">
        <v>-2708</v>
      </c>
      <c r="C258" s="1">
        <f>(teraterm[[#This Row],[Value(V)]]+$K$2)*$S$2</f>
        <v>-244.3798828125</v>
      </c>
      <c r="D258" s="1">
        <f>(teraterm[[#This Row],[Column2]]-Q$4)*$S$3*1000</f>
        <v>-1101.8880208333333</v>
      </c>
      <c r="E258" s="1">
        <f>IF(ABS(VALUE(teraterm[[#This Row],[Column1]]))&lt;4096,VALUE(teraterm[[#This Row],[Column1]]),0)</f>
        <v>320</v>
      </c>
      <c r="F258" s="1">
        <f>teraterm[[#This Row],[V(V)]]^2</f>
        <v>59721.527123451233</v>
      </c>
    </row>
    <row r="259" spans="1:6" x14ac:dyDescent="0.25">
      <c r="A259" s="7">
        <v>506</v>
      </c>
      <c r="B259" s="2">
        <v>-19012</v>
      </c>
      <c r="C259" s="1">
        <f>(teraterm[[#This Row],[Value(V)]]+$K$2)*$S$2</f>
        <v>-227.419189453125</v>
      </c>
      <c r="D259" s="1">
        <f>(teraterm[[#This Row],[Column2]]-Q$4)*$S$3*1000</f>
        <v>-7736.0026041666661</v>
      </c>
      <c r="E259" s="1">
        <f>IF(ABS(VALUE(teraterm[[#This Row],[Column1]]))&lt;4096,VALUE(teraterm[[#This Row],[Column1]]),0)</f>
        <v>506</v>
      </c>
      <c r="F259" s="1">
        <f>teraterm[[#This Row],[V(V)]]^2</f>
        <v>51719.487731516361</v>
      </c>
    </row>
    <row r="260" spans="1:6" x14ac:dyDescent="0.25">
      <c r="A260" s="7">
        <v>709</v>
      </c>
      <c r="B260" s="2">
        <v>-31173</v>
      </c>
      <c r="C260" s="1">
        <f>(teraterm[[#This Row],[Value(V)]]+$K$2)*$S$2</f>
        <v>-208.9083251953125</v>
      </c>
      <c r="D260" s="1">
        <f>(teraterm[[#This Row],[Column2]]-Q$4)*$S$3*1000</f>
        <v>-12684.326171874998</v>
      </c>
      <c r="E260" s="1">
        <f>IF(ABS(VALUE(teraterm[[#This Row],[Column1]]))&lt;4096,VALUE(teraterm[[#This Row],[Column1]]),0)</f>
        <v>709</v>
      </c>
      <c r="F260" s="1">
        <f>teraterm[[#This Row],[V(V)]]^2</f>
        <v>43642.688335910439</v>
      </c>
    </row>
    <row r="261" spans="1:6" x14ac:dyDescent="0.25">
      <c r="A261" s="7">
        <v>912</v>
      </c>
      <c r="B261" s="2">
        <v>21993</v>
      </c>
      <c r="C261" s="1">
        <f>(teraterm[[#This Row],[Value(V)]]+$K$2)*$S$2</f>
        <v>-190.3974609375</v>
      </c>
      <c r="D261" s="1">
        <f>(teraterm[[#This Row],[Column2]]-Q$4)*$S$3*1000</f>
        <v>8948.974609375</v>
      </c>
      <c r="E261" s="1">
        <f>IF(ABS(VALUE(teraterm[[#This Row],[Column1]]))&lt;4096,VALUE(teraterm[[#This Row],[Column1]]),0)</f>
        <v>912</v>
      </c>
      <c r="F261" s="1">
        <f>teraterm[[#This Row],[V(V)]]^2</f>
        <v>36251.193131446838</v>
      </c>
    </row>
    <row r="262" spans="1:6" x14ac:dyDescent="0.25">
      <c r="A262" s="7">
        <v>1151</v>
      </c>
      <c r="B262" s="2">
        <v>18596</v>
      </c>
      <c r="C262" s="1">
        <f>(teraterm[[#This Row],[Value(V)]]+$K$2)*$S$2</f>
        <v>-168.6038818359375</v>
      </c>
      <c r="D262" s="1">
        <f>(teraterm[[#This Row],[Column2]]-Q$4)*$S$3*1000</f>
        <v>7566.731770833333</v>
      </c>
      <c r="E262" s="1">
        <f>IF(ABS(VALUE(teraterm[[#This Row],[Column1]]))&lt;4096,VALUE(teraterm[[#This Row],[Column1]]),0)</f>
        <v>1151</v>
      </c>
      <c r="F262" s="1">
        <f>teraterm[[#This Row],[V(V)]]^2</f>
        <v>28427.268970146775</v>
      </c>
    </row>
    <row r="263" spans="1:6" x14ac:dyDescent="0.25">
      <c r="A263" s="7">
        <v>1398</v>
      </c>
      <c r="B263" s="2">
        <v>16996</v>
      </c>
      <c r="C263" s="1">
        <f>(teraterm[[#This Row],[Value(V)]]+$K$2)*$S$2</f>
        <v>-146.080810546875</v>
      </c>
      <c r="D263" s="1">
        <f>(teraterm[[#This Row],[Column2]]-Q$4)*$S$3*1000</f>
        <v>6915.6901041666661</v>
      </c>
      <c r="E263" s="1">
        <f>IF(ABS(VALUE(teraterm[[#This Row],[Column1]]))&lt;4096,VALUE(teraterm[[#This Row],[Column1]]),0)</f>
        <v>1398</v>
      </c>
      <c r="F263" s="1">
        <f>teraterm[[#This Row],[V(V)]]^2</f>
        <v>21339.603210031986</v>
      </c>
    </row>
    <row r="264" spans="1:6" x14ac:dyDescent="0.25">
      <c r="A264" s="7">
        <v>1644</v>
      </c>
      <c r="B264" s="2">
        <v>14891</v>
      </c>
      <c r="C264" s="1">
        <f>(teraterm[[#This Row],[Value(V)]]+$K$2)*$S$2</f>
        <v>-123.64892578125</v>
      </c>
      <c r="D264" s="1">
        <f>(teraterm[[#This Row],[Column2]]-Q$4)*$S$3*1000</f>
        <v>6059.163411458333</v>
      </c>
      <c r="E264" s="1">
        <f>IF(ABS(VALUE(teraterm[[#This Row],[Column1]]))&lt;4096,VALUE(teraterm[[#This Row],[Column1]]),0)</f>
        <v>1644</v>
      </c>
      <c r="F264" s="1">
        <f>teraterm[[#This Row],[V(V)]]^2</f>
        <v>15289.056846857071</v>
      </c>
    </row>
    <row r="265" spans="1:6" x14ac:dyDescent="0.25">
      <c r="A265" s="7">
        <v>1914</v>
      </c>
      <c r="B265" s="2">
        <v>18658</v>
      </c>
      <c r="C265" s="1">
        <f>(teraterm[[#This Row],[Value(V)]]+$K$2)*$S$2</f>
        <v>-99.028564453125</v>
      </c>
      <c r="D265" s="1">
        <f>(teraterm[[#This Row],[Column2]]-Q$4)*$S$3*1000</f>
        <v>7591.9596354166661</v>
      </c>
      <c r="E265" s="1">
        <f>IF(ABS(VALUE(teraterm[[#This Row],[Column1]]))&lt;4096,VALUE(teraterm[[#This Row],[Column1]]),0)</f>
        <v>1914</v>
      </c>
      <c r="F265" s="1">
        <f>teraterm[[#This Row],[V(V)]]^2</f>
        <v>9806.6565776467323</v>
      </c>
    </row>
    <row r="266" spans="1:6" x14ac:dyDescent="0.25">
      <c r="A266" s="7">
        <v>2199</v>
      </c>
      <c r="B266" s="2">
        <v>25980</v>
      </c>
      <c r="C266" s="1">
        <f>(teraterm[[#This Row],[Value(V)]]+$K$2)*$S$2</f>
        <v>-73.0404052734375</v>
      </c>
      <c r="D266" s="1">
        <f>(teraterm[[#This Row],[Column2]]-Q$4)*$S$3*1000</f>
        <v>10571.289062499998</v>
      </c>
      <c r="E266" s="1">
        <f>IF(ABS(VALUE(teraterm[[#This Row],[Column1]]))&lt;4096,VALUE(teraterm[[#This Row],[Column1]]),0)</f>
        <v>2199</v>
      </c>
      <c r="F266" s="1">
        <f>teraterm[[#This Row],[V(V)]]^2</f>
        <v>5334.9008025079966</v>
      </c>
    </row>
    <row r="267" spans="1:6" x14ac:dyDescent="0.25">
      <c r="A267" s="7">
        <v>2468</v>
      </c>
      <c r="B267" s="2">
        <v>28937</v>
      </c>
      <c r="C267" s="1">
        <f>(teraterm[[#This Row],[Value(V)]]+$K$2)*$S$2</f>
        <v>-48.51123046875</v>
      </c>
      <c r="D267" s="1">
        <f>(teraterm[[#This Row],[Column2]]-Q$4)*$S$3*1000</f>
        <v>11774.495442708332</v>
      </c>
      <c r="E267" s="1">
        <f>IF(ABS(VALUE(teraterm[[#This Row],[Column1]]))&lt;4096,VALUE(teraterm[[#This Row],[Column1]]),0)</f>
        <v>2468</v>
      </c>
      <c r="F267" s="1">
        <f>teraterm[[#This Row],[V(V)]]^2</f>
        <v>2353.3394815921783</v>
      </c>
    </row>
    <row r="268" spans="1:6" x14ac:dyDescent="0.25">
      <c r="A268" s="7">
        <v>2711</v>
      </c>
      <c r="B268" s="2">
        <v>24996</v>
      </c>
      <c r="C268" s="1">
        <f>(teraterm[[#This Row],[Value(V)]]+$K$2)*$S$2</f>
        <v>-26.3529052734375</v>
      </c>
      <c r="D268" s="1">
        <f>(teraterm[[#This Row],[Column2]]-Q$4)*$S$3*1000</f>
        <v>10170.898437499998</v>
      </c>
      <c r="E268" s="1">
        <f>IF(ABS(VALUE(teraterm[[#This Row],[Column1]]))&lt;4096,VALUE(teraterm[[#This Row],[Column1]]),0)</f>
        <v>2711</v>
      </c>
      <c r="F268" s="1">
        <f>teraterm[[#This Row],[V(V)]]^2</f>
        <v>694.47561635077</v>
      </c>
    </row>
    <row r="269" spans="1:6" x14ac:dyDescent="0.25">
      <c r="A269" s="7">
        <v>2958</v>
      </c>
      <c r="B269" s="2">
        <v>21835</v>
      </c>
      <c r="C269" s="1">
        <f>(teraterm[[#This Row],[Value(V)]]+$K$2)*$S$2</f>
        <v>-3.829833984375</v>
      </c>
      <c r="D269" s="1">
        <f>(teraterm[[#This Row],[Column2]]-Q$4)*$S$3*1000</f>
        <v>8884.6842447916661</v>
      </c>
      <c r="E269" s="1">
        <f>IF(ABS(VALUE(teraterm[[#This Row],[Column1]]))&lt;4096,VALUE(teraterm[[#This Row],[Column1]]),0)</f>
        <v>2958</v>
      </c>
      <c r="F269" s="1">
        <f>teraterm[[#This Row],[V(V)]]^2</f>
        <v>14.667628347873688</v>
      </c>
    </row>
    <row r="270" spans="1:6" x14ac:dyDescent="0.25">
      <c r="A270" s="7">
        <v>3190</v>
      </c>
      <c r="B270" s="2">
        <v>14605</v>
      </c>
      <c r="C270" s="1">
        <f>(teraterm[[#This Row],[Value(V)]]+$K$2)*$S$2</f>
        <v>17.325439453125</v>
      </c>
      <c r="D270" s="1">
        <f>(teraterm[[#This Row],[Column2]]-Q$4)*$S$3*1000</f>
        <v>5942.7897135416661</v>
      </c>
      <c r="E270" s="1">
        <f>IF(ABS(VALUE(teraterm[[#This Row],[Column1]]))&lt;4096,VALUE(teraterm[[#This Row],[Column1]]),0)</f>
        <v>3190</v>
      </c>
      <c r="F270" s="1">
        <f>teraterm[[#This Row],[V(V)]]^2</f>
        <v>300.1708522439003</v>
      </c>
    </row>
    <row r="271" spans="1:6" x14ac:dyDescent="0.25">
      <c r="A271" s="7">
        <v>3403</v>
      </c>
      <c r="B271" s="2">
        <v>2302</v>
      </c>
      <c r="C271" s="1">
        <f>(teraterm[[#This Row],[Value(V)]]+$K$2)*$S$2</f>
        <v>36.7481689453125</v>
      </c>
      <c r="D271" s="1">
        <f>(teraterm[[#This Row],[Column2]]-Q$4)*$S$3*1000</f>
        <v>936.68619791666663</v>
      </c>
      <c r="E271" s="1">
        <f>IF(ABS(VALUE(teraterm[[#This Row],[Column1]]))&lt;4096,VALUE(teraterm[[#This Row],[Column1]]),0)</f>
        <v>3403</v>
      </c>
      <c r="F271" s="1">
        <f>teraterm[[#This Row],[V(V)]]^2</f>
        <v>1350.42792083323</v>
      </c>
    </row>
    <row r="272" spans="1:6" x14ac:dyDescent="0.25">
      <c r="A272" s="7">
        <v>3607</v>
      </c>
      <c r="B272" s="2">
        <v>-12503</v>
      </c>
      <c r="C272" s="1">
        <f>(teraterm[[#This Row],[Value(V)]]+$K$2)*$S$2</f>
        <v>55.3502197265625</v>
      </c>
      <c r="D272" s="1">
        <f>(teraterm[[#This Row],[Column2]]-Q$4)*$S$3*1000</f>
        <v>-5087.483723958333</v>
      </c>
      <c r="E272" s="1">
        <f>IF(ABS(VALUE(teraterm[[#This Row],[Column1]]))&lt;4096,VALUE(teraterm[[#This Row],[Column1]]),0)</f>
        <v>3607</v>
      </c>
      <c r="F272" s="1">
        <f>teraterm[[#This Row],[V(V)]]^2</f>
        <v>3063.6468237787485</v>
      </c>
    </row>
    <row r="273" spans="1:6" x14ac:dyDescent="0.25">
      <c r="A273" s="7">
        <v>3771</v>
      </c>
      <c r="B273" s="2">
        <v>27829</v>
      </c>
      <c r="C273" s="1">
        <f>(teraterm[[#This Row],[Value(V)]]+$K$2)*$S$2</f>
        <v>70.3048095703125</v>
      </c>
      <c r="D273" s="1">
        <f>(teraterm[[#This Row],[Column2]]-Q$4)*$S$3*1000</f>
        <v>11323.649088541666</v>
      </c>
      <c r="E273" s="1">
        <f>IF(ABS(VALUE(teraterm[[#This Row],[Column1]]))&lt;4096,VALUE(teraterm[[#This Row],[Column1]]),0)</f>
        <v>3771</v>
      </c>
      <c r="F273" s="1">
        <f>teraterm[[#This Row],[V(V)]]^2</f>
        <v>4942.7662487179041</v>
      </c>
    </row>
    <row r="274" spans="1:6" x14ac:dyDescent="0.25">
      <c r="A274" s="7">
        <v>3902</v>
      </c>
      <c r="B274" s="2">
        <v>-5947</v>
      </c>
      <c r="C274" s="1">
        <f>(teraterm[[#This Row],[Value(V)]]+$K$2)*$S$2</f>
        <v>82.250244140625</v>
      </c>
      <c r="D274" s="1">
        <f>(teraterm[[#This Row],[Column2]]-Q$4)*$S$3*1000</f>
        <v>-2419.8404947916665</v>
      </c>
      <c r="E274" s="1">
        <f>IF(ABS(VALUE(teraterm[[#This Row],[Column1]]))&lt;4096,VALUE(teraterm[[#This Row],[Column1]]),0)</f>
        <v>3902</v>
      </c>
      <c r="F274" s="1">
        <f>teraterm[[#This Row],[V(V)]]^2</f>
        <v>6765.1026611924171</v>
      </c>
    </row>
    <row r="275" spans="1:6" x14ac:dyDescent="0.25">
      <c r="A275" s="7">
        <v>3987</v>
      </c>
      <c r="B275" s="2">
        <v>13959</v>
      </c>
      <c r="C275" s="1">
        <f>(teraterm[[#This Row],[Value(V)]]+$K$2)*$S$2</f>
        <v>90.0010986328125</v>
      </c>
      <c r="D275" s="1">
        <f>(teraterm[[#This Row],[Column2]]-Q$4)*$S$3*1000</f>
        <v>5679.9316406249991</v>
      </c>
      <c r="E275" s="1">
        <f>IF(ABS(VALUE(teraterm[[#This Row],[Column1]]))&lt;4096,VALUE(teraterm[[#This Row],[Column1]]),0)</f>
        <v>3987</v>
      </c>
      <c r="F275" s="1">
        <f>teraterm[[#This Row],[V(V)]]^2</f>
        <v>8100.1977551132441</v>
      </c>
    </row>
    <row r="276" spans="1:6" x14ac:dyDescent="0.25">
      <c r="A276" s="7">
        <v>4016</v>
      </c>
      <c r="B276" s="2">
        <v>19507</v>
      </c>
      <c r="C276" s="1">
        <f>(teraterm[[#This Row],[Value(V)]]+$K$2)*$S$2</f>
        <v>92.6455078125</v>
      </c>
      <c r="D276" s="1">
        <f>(teraterm[[#This Row],[Column2]]-Q$4)*$S$3*1000</f>
        <v>7937.4186197916661</v>
      </c>
      <c r="E276" s="1">
        <f>IF(ABS(VALUE(teraterm[[#This Row],[Column1]]))&lt;4096,VALUE(teraterm[[#This Row],[Column1]]),0)</f>
        <v>4016</v>
      </c>
      <c r="F276" s="1">
        <f>teraterm[[#This Row],[V(V)]]^2</f>
        <v>8583.1901178359985</v>
      </c>
    </row>
    <row r="277" spans="1:6" x14ac:dyDescent="0.25">
      <c r="A277" s="7">
        <v>4034</v>
      </c>
      <c r="B277" s="2">
        <v>22228</v>
      </c>
      <c r="C277" s="1">
        <f>(teraterm[[#This Row],[Value(V)]]+$K$2)*$S$2</f>
        <v>94.286865234375</v>
      </c>
      <c r="D277" s="1">
        <f>(teraterm[[#This Row],[Column2]]-Q$4)*$S$3*1000</f>
        <v>9044.5963541666661</v>
      </c>
      <c r="E277" s="1">
        <f>IF(ABS(VALUE(teraterm[[#This Row],[Column1]]))&lt;4096,VALUE(teraterm[[#This Row],[Column1]]),0)</f>
        <v>4034</v>
      </c>
      <c r="F277" s="1">
        <f>teraterm[[#This Row],[V(V)]]^2</f>
        <v>8890.012955725193</v>
      </c>
    </row>
    <row r="278" spans="1:6" x14ac:dyDescent="0.25">
      <c r="A278" s="7">
        <v>4044</v>
      </c>
      <c r="B278" s="2">
        <v>22899</v>
      </c>
      <c r="C278" s="1">
        <f>(teraterm[[#This Row],[Value(V)]]+$K$2)*$S$2</f>
        <v>95.19873046875</v>
      </c>
      <c r="D278" s="1">
        <f>(teraterm[[#This Row],[Column2]]-Q$4)*$S$3*1000</f>
        <v>9317.626953125</v>
      </c>
      <c r="E278" s="1">
        <f>IF(ABS(VALUE(teraterm[[#This Row],[Column1]]))&lt;4096,VALUE(teraterm[[#This Row],[Column1]]),0)</f>
        <v>4044</v>
      </c>
      <c r="F278" s="1">
        <f>teraterm[[#This Row],[V(V)]]^2</f>
        <v>9062.7982828617096</v>
      </c>
    </row>
    <row r="279" spans="1:6" x14ac:dyDescent="0.25">
      <c r="A279" s="7">
        <v>4041</v>
      </c>
      <c r="B279" s="2">
        <v>20252</v>
      </c>
      <c r="C279" s="1">
        <f>(teraterm[[#This Row],[Value(V)]]+$K$2)*$S$2</f>
        <v>94.9251708984375</v>
      </c>
      <c r="D279" s="1">
        <f>(teraterm[[#This Row],[Column2]]-Q$4)*$S$3*1000</f>
        <v>8240.5598958333321</v>
      </c>
      <c r="E279" s="1">
        <f>IF(ABS(VALUE(teraterm[[#This Row],[Column1]]))&lt;4096,VALUE(teraterm[[#This Row],[Column1]]),0)</f>
        <v>4041</v>
      </c>
      <c r="F279" s="1">
        <f>teraterm[[#This Row],[V(V)]]^2</f>
        <v>9010.7880700975657</v>
      </c>
    </row>
    <row r="280" spans="1:6" x14ac:dyDescent="0.25">
      <c r="A280" s="7">
        <v>3996</v>
      </c>
      <c r="B280" s="2">
        <v>6905</v>
      </c>
      <c r="C280" s="1">
        <f>(teraterm[[#This Row],[Value(V)]]+$K$2)*$S$2</f>
        <v>90.82177734375</v>
      </c>
      <c r="D280" s="1">
        <f>(teraterm[[#This Row],[Column2]]-Q$4)*$S$3*1000</f>
        <v>2809.651692708333</v>
      </c>
      <c r="E280" s="1">
        <f>IF(ABS(VALUE(teraterm[[#This Row],[Column1]]))&lt;4096,VALUE(teraterm[[#This Row],[Column1]]),0)</f>
        <v>3996</v>
      </c>
      <c r="F280" s="1">
        <f>teraterm[[#This Row],[V(V)]]^2</f>
        <v>8248.5952398777008</v>
      </c>
    </row>
    <row r="281" spans="1:6" x14ac:dyDescent="0.25">
      <c r="A281" s="7">
        <v>3855</v>
      </c>
      <c r="B281" s="2">
        <v>-30869</v>
      </c>
      <c r="C281" s="1">
        <f>(teraterm[[#This Row],[Value(V)]]+$K$2)*$S$2</f>
        <v>77.9644775390625</v>
      </c>
      <c r="D281" s="1">
        <f>(teraterm[[#This Row],[Column2]]-Q$4)*$S$3*1000</f>
        <v>-12560.628255208332</v>
      </c>
      <c r="E281" s="1">
        <f>IF(ABS(VALUE(teraterm[[#This Row],[Column1]]))&lt;4096,VALUE(teraterm[[#This Row],[Column1]]),0)</f>
        <v>3855</v>
      </c>
      <c r="F281" s="1">
        <f>teraterm[[#This Row],[V(V)]]^2</f>
        <v>6078.4597579389811</v>
      </c>
    </row>
    <row r="282" spans="1:6" x14ac:dyDescent="0.25">
      <c r="A282" s="7">
        <v>3660</v>
      </c>
      <c r="B282" s="2">
        <v>-16730</v>
      </c>
      <c r="C282" s="1">
        <f>(teraterm[[#This Row],[Value(V)]]+$K$2)*$S$2</f>
        <v>60.18310546875</v>
      </c>
      <c r="D282" s="1">
        <f>(teraterm[[#This Row],[Column2]]-Q$4)*$S$3*1000</f>
        <v>-6807.454427083333</v>
      </c>
      <c r="E282" s="1">
        <f>IF(ABS(VALUE(teraterm[[#This Row],[Column1]]))&lt;4096,VALUE(teraterm[[#This Row],[Column1]]),0)</f>
        <v>3660</v>
      </c>
      <c r="F282" s="1">
        <f>teraterm[[#This Row],[V(V)]]^2</f>
        <v>3622.0061838626862</v>
      </c>
    </row>
    <row r="283" spans="1:6" x14ac:dyDescent="0.25">
      <c r="A283" s="7">
        <v>3470</v>
      </c>
      <c r="B283" s="2">
        <v>-1115</v>
      </c>
      <c r="C283" s="1">
        <f>(teraterm[[#This Row],[Value(V)]]+$K$2)*$S$2</f>
        <v>42.857666015625</v>
      </c>
      <c r="D283" s="1">
        <f>(teraterm[[#This Row],[Column2]]-Q$4)*$S$3*1000</f>
        <v>-453.69466145833331</v>
      </c>
      <c r="E283" s="1">
        <f>IF(ABS(VALUE(teraterm[[#This Row],[Column1]]))&lt;4096,VALUE(teraterm[[#This Row],[Column1]]),0)</f>
        <v>3470</v>
      </c>
      <c r="F283" s="1">
        <f>teraterm[[#This Row],[V(V)]]^2</f>
        <v>1836.7795363068581</v>
      </c>
    </row>
    <row r="284" spans="1:6" x14ac:dyDescent="0.25">
      <c r="A284" s="7">
        <v>3257</v>
      </c>
      <c r="B284" s="2">
        <v>8830</v>
      </c>
      <c r="C284" s="1">
        <f>(teraterm[[#This Row],[Value(V)]]+$K$2)*$S$2</f>
        <v>23.4349365234375</v>
      </c>
      <c r="D284" s="1">
        <f>(teraterm[[#This Row],[Column2]]-Q$4)*$S$3*1000</f>
        <v>3592.9361979166665</v>
      </c>
      <c r="E284" s="1">
        <f>IF(ABS(VALUE(teraterm[[#This Row],[Column1]]))&lt;4096,VALUE(teraterm[[#This Row],[Column1]]),0)</f>
        <v>3257</v>
      </c>
      <c r="F284" s="1">
        <f>teraterm[[#This Row],[V(V)]]^2</f>
        <v>549.1962498575449</v>
      </c>
    </row>
    <row r="285" spans="1:6" x14ac:dyDescent="0.25">
      <c r="A285" s="7">
        <v>3016</v>
      </c>
      <c r="B285" s="2">
        <v>11852</v>
      </c>
      <c r="C285" s="1">
        <f>(teraterm[[#This Row],[Value(V)]]+$K$2)*$S$2</f>
        <v>1.458984375</v>
      </c>
      <c r="D285" s="1">
        <f>(teraterm[[#This Row],[Column2]]-Q$4)*$S$3*1000</f>
        <v>4822.591145833333</v>
      </c>
      <c r="E285" s="1">
        <f>IF(ABS(VALUE(teraterm[[#This Row],[Column1]]))&lt;4096,VALUE(teraterm[[#This Row],[Column1]]),0)</f>
        <v>3016</v>
      </c>
      <c r="F285" s="1">
        <f>teraterm[[#This Row],[V(V)]]^2</f>
        <v>2.1286354064941406</v>
      </c>
    </row>
    <row r="286" spans="1:6" x14ac:dyDescent="0.25">
      <c r="A286" s="7">
        <v>2777</v>
      </c>
      <c r="B286" s="2">
        <v>15628</v>
      </c>
      <c r="C286" s="1">
        <f>(teraterm[[#This Row],[Value(V)]]+$K$2)*$S$2</f>
        <v>-20.3345947265625</v>
      </c>
      <c r="D286" s="1">
        <f>(teraterm[[#This Row],[Column2]]-Q$4)*$S$3*1000</f>
        <v>6359.0494791666661</v>
      </c>
      <c r="E286" s="1">
        <f>IF(ABS(VALUE(teraterm[[#This Row],[Column1]]))&lt;4096,VALUE(teraterm[[#This Row],[Column1]]),0)</f>
        <v>2777</v>
      </c>
      <c r="F286" s="1">
        <f>teraterm[[#This Row],[V(V)]]^2</f>
        <v>413.49574269354343</v>
      </c>
    </row>
    <row r="287" spans="1:6" x14ac:dyDescent="0.25">
      <c r="A287" s="7">
        <v>2521</v>
      </c>
      <c r="B287" s="2">
        <v>15310</v>
      </c>
      <c r="C287" s="1">
        <f>(teraterm[[#This Row],[Value(V)]]+$K$2)*$S$2</f>
        <v>-43.6783447265625</v>
      </c>
      <c r="D287" s="1">
        <f>(teraterm[[#This Row],[Column2]]-Q$4)*$S$3*1000</f>
        <v>6229.6549479166661</v>
      </c>
      <c r="E287" s="1">
        <f>IF(ABS(VALUE(teraterm[[#This Row],[Column1]]))&lt;4096,VALUE(teraterm[[#This Row],[Column1]]),0)</f>
        <v>2521</v>
      </c>
      <c r="F287" s="1">
        <f>teraterm[[#This Row],[V(V)]]^2</f>
        <v>1907.7977980524302</v>
      </c>
    </row>
    <row r="288" spans="1:6" x14ac:dyDescent="0.25">
      <c r="A288" s="7">
        <v>2236</v>
      </c>
      <c r="B288" s="2">
        <v>7855</v>
      </c>
      <c r="C288" s="1">
        <f>(teraterm[[#This Row],[Value(V)]]+$K$2)*$S$2</f>
        <v>-69.66650390625</v>
      </c>
      <c r="D288" s="1">
        <f>(teraterm[[#This Row],[Column2]]-Q$4)*$S$3*1000</f>
        <v>3196.2076822916665</v>
      </c>
      <c r="E288" s="1">
        <f>IF(ABS(VALUE(teraterm[[#This Row],[Column1]]))&lt;4096,VALUE(teraterm[[#This Row],[Column1]]),0)</f>
        <v>2236</v>
      </c>
      <c r="F288" s="1">
        <f>teraterm[[#This Row],[V(V)]]^2</f>
        <v>4853.4217665195465</v>
      </c>
    </row>
    <row r="289" spans="1:6" x14ac:dyDescent="0.25">
      <c r="A289" s="7">
        <v>1953</v>
      </c>
      <c r="B289" s="2">
        <v>1195</v>
      </c>
      <c r="C289" s="1">
        <f>(teraterm[[#This Row],[Value(V)]]+$K$2)*$S$2</f>
        <v>-95.4722900390625</v>
      </c>
      <c r="D289" s="1">
        <f>(teraterm[[#This Row],[Column2]]-Q$4)*$S$3*1000</f>
        <v>486.24674479166663</v>
      </c>
      <c r="E289" s="1">
        <f>IF(ABS(VALUE(teraterm[[#This Row],[Column1]]))&lt;4096,VALUE(teraterm[[#This Row],[Column1]]),0)</f>
        <v>1953</v>
      </c>
      <c r="F289" s="1">
        <f>teraterm[[#This Row],[V(V)]]^2</f>
        <v>9114.9581653028727</v>
      </c>
    </row>
    <row r="290" spans="1:6" x14ac:dyDescent="0.25">
      <c r="A290" s="7">
        <v>1702</v>
      </c>
      <c r="B290" s="2">
        <v>2977</v>
      </c>
      <c r="C290" s="1">
        <f>(teraterm[[#This Row],[Value(V)]]+$K$2)*$S$2</f>
        <v>-118.360107421875</v>
      </c>
      <c r="D290" s="1">
        <f>(teraterm[[#This Row],[Column2]]-Q$4)*$S$3*1000</f>
        <v>1211.3444010416665</v>
      </c>
      <c r="E290" s="1">
        <f>IF(ABS(VALUE(teraterm[[#This Row],[Column1]]))&lt;4096,VALUE(teraterm[[#This Row],[Column1]]),0)</f>
        <v>1702</v>
      </c>
      <c r="F290" s="1">
        <f>teraterm[[#This Row],[V(V)]]^2</f>
        <v>14009.115028917789</v>
      </c>
    </row>
    <row r="291" spans="1:6" x14ac:dyDescent="0.25">
      <c r="A291" s="7">
        <v>1444</v>
      </c>
      <c r="B291" s="2">
        <v>3223</v>
      </c>
      <c r="C291" s="1">
        <f>(teraterm[[#This Row],[Value(V)]]+$K$2)*$S$2</f>
        <v>-141.88623046875</v>
      </c>
      <c r="D291" s="1">
        <f>(teraterm[[#This Row],[Column2]]-Q$4)*$S$3*1000</f>
        <v>1311.4420572916665</v>
      </c>
      <c r="E291" s="1">
        <f>IF(ABS(VALUE(teraterm[[#This Row],[Column1]]))&lt;4096,VALUE(teraterm[[#This Row],[Column1]]),0)</f>
        <v>1444</v>
      </c>
      <c r="F291" s="1">
        <f>teraterm[[#This Row],[V(V)]]^2</f>
        <v>20131.702396631241</v>
      </c>
    </row>
    <row r="292" spans="1:6" x14ac:dyDescent="0.25">
      <c r="A292" s="7">
        <v>1193</v>
      </c>
      <c r="B292" s="2">
        <v>5509</v>
      </c>
      <c r="C292" s="1">
        <f>(teraterm[[#This Row],[Value(V)]]+$K$2)*$S$2</f>
        <v>-164.7740478515625</v>
      </c>
      <c r="D292" s="1">
        <f>(teraterm[[#This Row],[Column2]]-Q$4)*$S$3*1000</f>
        <v>2241.6178385416665</v>
      </c>
      <c r="E292" s="1">
        <f>IF(ABS(VALUE(teraterm[[#This Row],[Column1]]))&lt;4096,VALUE(teraterm[[#This Row],[Column1]]),0)</f>
        <v>1193</v>
      </c>
      <c r="F292" s="1">
        <f>teraterm[[#This Row],[V(V)]]^2</f>
        <v>27150.486845389009</v>
      </c>
    </row>
    <row r="293" spans="1:6" x14ac:dyDescent="0.25">
      <c r="A293" s="7">
        <v>965</v>
      </c>
      <c r="B293" s="2">
        <v>13907</v>
      </c>
      <c r="C293" s="1">
        <f>(teraterm[[#This Row],[Value(V)]]+$K$2)*$S$2</f>
        <v>-185.5645751953125</v>
      </c>
      <c r="D293" s="1">
        <f>(teraterm[[#This Row],[Column2]]-Q$4)*$S$3*1000</f>
        <v>5658.772786458333</v>
      </c>
      <c r="E293" s="1">
        <f>IF(ABS(VALUE(teraterm[[#This Row],[Column1]]))&lt;4096,VALUE(teraterm[[#This Row],[Column1]]),0)</f>
        <v>965</v>
      </c>
      <c r="F293" s="1">
        <f>teraterm[[#This Row],[V(V)]]^2</f>
        <v>34434.211567416787</v>
      </c>
    </row>
    <row r="294" spans="1:6" x14ac:dyDescent="0.25">
      <c r="A294" s="7">
        <v>746</v>
      </c>
      <c r="B294" s="2">
        <v>24823</v>
      </c>
      <c r="C294" s="1">
        <f>(teraterm[[#This Row],[Value(V)]]+$K$2)*$S$2</f>
        <v>-205.534423828125</v>
      </c>
      <c r="D294" s="1">
        <f>(teraterm[[#This Row],[Column2]]-Q$4)*$S$3*1000</f>
        <v>10100.504557291666</v>
      </c>
      <c r="E294" s="1">
        <f>IF(ABS(VALUE(teraterm[[#This Row],[Column1]]))&lt;4096,VALUE(teraterm[[#This Row],[Column1]]),0)</f>
        <v>746</v>
      </c>
      <c r="F294" s="1">
        <f>teraterm[[#This Row],[V(V)]]^2</f>
        <v>42244.399378359318</v>
      </c>
    </row>
    <row r="295" spans="1:6" x14ac:dyDescent="0.25">
      <c r="A295" s="7">
        <v>551</v>
      </c>
      <c r="B295" s="2">
        <v>-23463</v>
      </c>
      <c r="C295" s="1">
        <f>(teraterm[[#This Row],[Value(V)]]+$K$2)*$S$2</f>
        <v>-223.3157958984375</v>
      </c>
      <c r="D295" s="1">
        <f>(teraterm[[#This Row],[Column2]]-Q$4)*$S$3*1000</f>
        <v>-9547.119140625</v>
      </c>
      <c r="E295" s="1">
        <f>IF(ABS(VALUE(teraterm[[#This Row],[Column1]]))&lt;4096,VALUE(teraterm[[#This Row],[Column1]]),0)</f>
        <v>551</v>
      </c>
      <c r="F295" s="1">
        <f>teraterm[[#This Row],[V(V)]]^2</f>
        <v>49869.944697752595</v>
      </c>
    </row>
    <row r="296" spans="1:6" x14ac:dyDescent="0.25">
      <c r="A296" s="7">
        <v>400</v>
      </c>
      <c r="B296" s="2">
        <v>5195</v>
      </c>
      <c r="C296" s="1">
        <f>(teraterm[[#This Row],[Value(V)]]+$K$2)*$S$2</f>
        <v>-237.0849609375</v>
      </c>
      <c r="D296" s="1">
        <f>(teraterm[[#This Row],[Column2]]-Q$4)*$S$3*1000</f>
        <v>2113.850911458333</v>
      </c>
      <c r="E296" s="1">
        <f>IF(ABS(VALUE(teraterm[[#This Row],[Column1]]))&lt;4096,VALUE(teraterm[[#This Row],[Column1]]),0)</f>
        <v>400</v>
      </c>
      <c r="F296" s="1">
        <f>teraterm[[#This Row],[V(V)]]^2</f>
        <v>56209.278702735901</v>
      </c>
    </row>
    <row r="297" spans="1:6" x14ac:dyDescent="0.25">
      <c r="A297" s="7">
        <v>290</v>
      </c>
      <c r="B297" s="2">
        <v>-21084</v>
      </c>
      <c r="C297" s="1">
        <f>(teraterm[[#This Row],[Value(V)]]+$K$2)*$S$2</f>
        <v>-247.115478515625</v>
      </c>
      <c r="D297" s="1">
        <f>(teraterm[[#This Row],[Column2]]-Q$4)*$S$3*1000</f>
        <v>-8579.1015625</v>
      </c>
      <c r="E297" s="1">
        <f>IF(ABS(VALUE(teraterm[[#This Row],[Column1]]))&lt;4096,VALUE(teraterm[[#This Row],[Column1]]),0)</f>
        <v>290</v>
      </c>
      <c r="F297" s="1">
        <f>teraterm[[#This Row],[V(V)]]^2</f>
        <v>61066.059722006321</v>
      </c>
    </row>
    <row r="298" spans="1:6" x14ac:dyDescent="0.25">
      <c r="A298" s="7">
        <v>241</v>
      </c>
      <c r="B298" s="2">
        <v>-31705</v>
      </c>
      <c r="C298" s="1">
        <f>(teraterm[[#This Row],[Value(V)]]+$K$2)*$S$2</f>
        <v>-251.5836181640625</v>
      </c>
      <c r="D298" s="1">
        <f>(teraterm[[#This Row],[Column2]]-Q$4)*$S$3*1000</f>
        <v>-12900.797526041666</v>
      </c>
      <c r="E298" s="1">
        <f>IF(ABS(VALUE(teraterm[[#This Row],[Column1]]))&lt;4096,VALUE(teraterm[[#This Row],[Column1]]),0)</f>
        <v>241</v>
      </c>
      <c r="F298" s="1">
        <f>teraterm[[#This Row],[V(V)]]^2</f>
        <v>63294.316928520799</v>
      </c>
    </row>
    <row r="299" spans="1:6" x14ac:dyDescent="0.25">
      <c r="A299" s="7">
        <v>225</v>
      </c>
      <c r="B299" s="2">
        <v>31666</v>
      </c>
      <c r="C299" s="1">
        <f>(teraterm[[#This Row],[Value(V)]]+$K$2)*$S$2</f>
        <v>-253.0426025390625</v>
      </c>
      <c r="D299" s="1">
        <f>(teraterm[[#This Row],[Column2]]-Q$4)*$S$3*1000</f>
        <v>12884.928385416666</v>
      </c>
      <c r="E299" s="1">
        <f>IF(ABS(VALUE(teraterm[[#This Row],[Column1]]))&lt;4096,VALUE(teraterm[[#This Row],[Column1]]),0)</f>
        <v>225</v>
      </c>
      <c r="F299" s="1">
        <f>teraterm[[#This Row],[V(V)]]^2</f>
        <v>64030.55869974196</v>
      </c>
    </row>
    <row r="300" spans="1:6" x14ac:dyDescent="0.25">
      <c r="A300" s="7">
        <v>217</v>
      </c>
      <c r="B300" s="2">
        <v>31550</v>
      </c>
      <c r="C300" s="1">
        <f>(teraterm[[#This Row],[Value(V)]]+$K$2)*$S$2</f>
        <v>-253.7720947265625</v>
      </c>
      <c r="D300" s="1">
        <f>(teraterm[[#This Row],[Column2]]-Q$4)*$S$3*1000</f>
        <v>12837.727864583332</v>
      </c>
      <c r="E300" s="1">
        <f>IF(ABS(VALUE(teraterm[[#This Row],[Column1]]))&lt;4096,VALUE(teraterm[[#This Row],[Column1]]),0)</f>
        <v>217</v>
      </c>
      <c r="F300" s="1">
        <f>teraterm[[#This Row],[V(V)]]^2</f>
        <v>64400.276061907411</v>
      </c>
    </row>
    <row r="301" spans="1:6" x14ac:dyDescent="0.25">
      <c r="A301" s="7">
        <v>220</v>
      </c>
      <c r="B301" s="2">
        <v>-31297</v>
      </c>
      <c r="C301" s="1">
        <f>(teraterm[[#This Row],[Value(V)]]+$K$2)*$S$2</f>
        <v>-253.49853515625</v>
      </c>
      <c r="D301" s="1">
        <f>(teraterm[[#This Row],[Column2]]-Q$4)*$S$3*1000</f>
        <v>-12734.781901041666</v>
      </c>
      <c r="E301" s="1">
        <f>IF(ABS(VALUE(teraterm[[#This Row],[Column1]]))&lt;4096,VALUE(teraterm[[#This Row],[Column1]]),0)</f>
        <v>220</v>
      </c>
      <c r="F301" s="1">
        <f>teraterm[[#This Row],[V(V)]]^2</f>
        <v>64261.507326364517</v>
      </c>
    </row>
    <row r="302" spans="1:6" x14ac:dyDescent="0.25">
      <c r="A302" s="7">
        <v>250</v>
      </c>
      <c r="B302" s="2">
        <v>-21733</v>
      </c>
      <c r="C302" s="1">
        <f>(teraterm[[#This Row],[Value(V)]]+$K$2)*$S$2</f>
        <v>-250.762939453125</v>
      </c>
      <c r="D302" s="1">
        <f>(teraterm[[#This Row],[Column2]]-Q$4)*$S$3*1000</f>
        <v>-8843.1803385416661</v>
      </c>
      <c r="E302" s="1">
        <f>IF(ABS(VALUE(teraterm[[#This Row],[Column1]]))&lt;4096,VALUE(teraterm[[#This Row],[Column1]]),0)</f>
        <v>250</v>
      </c>
      <c r="F302" s="1">
        <f>teraterm[[#This Row],[V(V)]]^2</f>
        <v>62882.051803171635</v>
      </c>
    </row>
    <row r="303" spans="1:6" x14ac:dyDescent="0.25">
      <c r="A303" s="7">
        <v>368</v>
      </c>
      <c r="B303" s="2">
        <v>10233</v>
      </c>
      <c r="C303" s="1">
        <f>(teraterm[[#This Row],[Value(V)]]+$K$2)*$S$2</f>
        <v>-240.0029296875</v>
      </c>
      <c r="D303" s="1">
        <f>(teraterm[[#This Row],[Column2]]-Q$4)*$S$3*1000</f>
        <v>4163.818359375</v>
      </c>
      <c r="E303" s="1">
        <f>IF(ABS(VALUE(teraterm[[#This Row],[Column1]]))&lt;4096,VALUE(teraterm[[#This Row],[Column1]]),0)</f>
        <v>368</v>
      </c>
      <c r="F303" s="1">
        <f>teraterm[[#This Row],[V(V)]]^2</f>
        <v>57601.406258583069</v>
      </c>
    </row>
    <row r="304" spans="1:6" x14ac:dyDescent="0.25">
      <c r="A304" s="7">
        <v>573</v>
      </c>
      <c r="B304" s="2">
        <v>-1276</v>
      </c>
      <c r="C304" s="1">
        <f>(teraterm[[#This Row],[Value(V)]]+$K$2)*$S$2</f>
        <v>-221.3096923828125</v>
      </c>
      <c r="D304" s="1">
        <f>(teraterm[[#This Row],[Column2]]-Q$4)*$S$3*1000</f>
        <v>-519.20572916666663</v>
      </c>
      <c r="E304" s="1">
        <f>IF(ABS(VALUE(teraterm[[#This Row],[Column1]]))&lt;4096,VALUE(teraterm[[#This Row],[Column1]]),0)</f>
        <v>573</v>
      </c>
      <c r="F304" s="1">
        <f>teraterm[[#This Row],[V(V)]]^2</f>
        <v>48977.979942575097</v>
      </c>
    </row>
    <row r="305" spans="1:6" x14ac:dyDescent="0.25">
      <c r="A305" s="7">
        <v>774</v>
      </c>
      <c r="B305" s="2">
        <v>-14017</v>
      </c>
      <c r="C305" s="1">
        <f>(teraterm[[#This Row],[Value(V)]]+$K$2)*$S$2</f>
        <v>-202.981201171875</v>
      </c>
      <c r="D305" s="1">
        <f>(teraterm[[#This Row],[Column2]]-Q$4)*$S$3*1000</f>
        <v>-5703.5319010416661</v>
      </c>
      <c r="E305" s="1">
        <f>IF(ABS(VALUE(teraterm[[#This Row],[Column1]]))&lt;4096,VALUE(teraterm[[#This Row],[Column1]]),0)</f>
        <v>774</v>
      </c>
      <c r="F305" s="1">
        <f>teraterm[[#This Row],[V(V)]]^2</f>
        <v>41201.368029177189</v>
      </c>
    </row>
    <row r="306" spans="1:6" x14ac:dyDescent="0.25">
      <c r="A306" s="7">
        <v>987</v>
      </c>
      <c r="B306" s="2">
        <v>-23904</v>
      </c>
      <c r="C306" s="1">
        <f>(teraterm[[#This Row],[Value(V)]]+$K$2)*$S$2</f>
        <v>-183.5584716796875</v>
      </c>
      <c r="D306" s="1">
        <f>(teraterm[[#This Row],[Column2]]-Q$4)*$S$3*1000</f>
        <v>-9726.5625</v>
      </c>
      <c r="E306" s="1">
        <f>IF(ABS(VALUE(teraterm[[#This Row],[Column1]]))&lt;4096,VALUE(teraterm[[#This Row],[Column1]]),0)</f>
        <v>987</v>
      </c>
      <c r="F306" s="1">
        <f>teraterm[[#This Row],[V(V)]]^2</f>
        <v>33693.712525382638</v>
      </c>
    </row>
    <row r="307" spans="1:6" x14ac:dyDescent="0.25">
      <c r="A307" s="7">
        <v>1235</v>
      </c>
      <c r="B307" s="2">
        <v>-25083</v>
      </c>
      <c r="C307" s="1">
        <f>(teraterm[[#This Row],[Value(V)]]+$K$2)*$S$2</f>
        <v>-160.9442138671875</v>
      </c>
      <c r="D307" s="1">
        <f>(teraterm[[#This Row],[Column2]]-Q$4)*$S$3*1000</f>
        <v>-10206.298828124998</v>
      </c>
      <c r="E307" s="1">
        <f>IF(ABS(VALUE(teraterm[[#This Row],[Column1]]))&lt;4096,VALUE(teraterm[[#This Row],[Column1]]),0)</f>
        <v>1235</v>
      </c>
      <c r="F307" s="1">
        <f>teraterm[[#This Row],[V(V)]]^2</f>
        <v>25903.039977326989</v>
      </c>
    </row>
    <row r="308" spans="1:6" x14ac:dyDescent="0.25">
      <c r="A308" s="7">
        <v>1477</v>
      </c>
      <c r="B308" s="2">
        <v>-28044</v>
      </c>
      <c r="C308" s="1">
        <f>(teraterm[[#This Row],[Value(V)]]+$K$2)*$S$2</f>
        <v>-138.8770751953125</v>
      </c>
      <c r="D308" s="1">
        <f>(teraterm[[#This Row],[Column2]]-Q$4)*$S$3*1000</f>
        <v>-11411.132812499998</v>
      </c>
      <c r="E308" s="1">
        <f>IF(ABS(VALUE(teraterm[[#This Row],[Column1]]))&lt;4096,VALUE(teraterm[[#This Row],[Column1]]),0)</f>
        <v>1477</v>
      </c>
      <c r="F308" s="1">
        <f>teraterm[[#This Row],[V(V)]]^2</f>
        <v>19286.842014804482</v>
      </c>
    </row>
    <row r="309" spans="1:6" x14ac:dyDescent="0.25">
      <c r="A309" s="7">
        <v>1732</v>
      </c>
      <c r="B309" s="2">
        <v>-27934</v>
      </c>
      <c r="C309" s="1">
        <f>(teraterm[[#This Row],[Value(V)]]+$K$2)*$S$2</f>
        <v>-115.62451171875</v>
      </c>
      <c r="D309" s="1">
        <f>(teraterm[[#This Row],[Column2]]-Q$4)*$S$3*1000</f>
        <v>-11366.373697916666</v>
      </c>
      <c r="E309" s="1">
        <f>IF(ABS(VALUE(teraterm[[#This Row],[Column1]]))&lt;4096,VALUE(teraterm[[#This Row],[Column1]]),0)</f>
        <v>1732</v>
      </c>
      <c r="F309" s="1">
        <f>teraterm[[#This Row],[V(V)]]^2</f>
        <v>13369.027710199356</v>
      </c>
    </row>
    <row r="310" spans="1:6" x14ac:dyDescent="0.25">
      <c r="A310" s="7">
        <v>2012</v>
      </c>
      <c r="B310" s="2">
        <v>-21705</v>
      </c>
      <c r="C310" s="1">
        <f>(teraterm[[#This Row],[Value(V)]]+$K$2)*$S$2</f>
        <v>-90.09228515625</v>
      </c>
      <c r="D310" s="1">
        <f>(teraterm[[#This Row],[Column2]]-Q$4)*$S$3*1000</f>
        <v>-8831.787109375</v>
      </c>
      <c r="E310" s="1">
        <f>IF(ABS(VALUE(teraterm[[#This Row],[Column1]]))&lt;4096,VALUE(teraterm[[#This Row],[Column1]]),0)</f>
        <v>2012</v>
      </c>
      <c r="F310" s="1">
        <f>teraterm[[#This Row],[V(V)]]^2</f>
        <v>8116.6198446750641</v>
      </c>
    </row>
    <row r="311" spans="1:6" x14ac:dyDescent="0.25">
      <c r="A311" s="7">
        <v>2291</v>
      </c>
      <c r="B311" s="2">
        <v>-16012</v>
      </c>
      <c r="C311" s="1">
        <f>(teraterm[[#This Row],[Value(V)]]+$K$2)*$S$2</f>
        <v>-64.6512451171875</v>
      </c>
      <c r="D311" s="1">
        <f>(teraterm[[#This Row],[Column2]]-Q$4)*$S$3*1000</f>
        <v>-6515.2994791666661</v>
      </c>
      <c r="E311" s="1">
        <f>IF(ABS(VALUE(teraterm[[#This Row],[Column1]]))&lt;4096,VALUE(teraterm[[#This Row],[Column1]]),0)</f>
        <v>2291</v>
      </c>
      <c r="F311" s="1">
        <f>teraterm[[#This Row],[V(V)]]^2</f>
        <v>4179.7834952026606</v>
      </c>
    </row>
    <row r="312" spans="1:6" x14ac:dyDescent="0.25">
      <c r="A312" s="7">
        <v>2545</v>
      </c>
      <c r="B312" s="2">
        <v>-16972</v>
      </c>
      <c r="C312" s="1">
        <f>(teraterm[[#This Row],[Value(V)]]+$K$2)*$S$2</f>
        <v>-41.4898681640625</v>
      </c>
      <c r="D312" s="1">
        <f>(teraterm[[#This Row],[Column2]]-Q$4)*$S$3*1000</f>
        <v>-6905.9244791666661</v>
      </c>
      <c r="E312" s="1">
        <f>IF(ABS(VALUE(teraterm[[#This Row],[Column1]]))&lt;4096,VALUE(teraterm[[#This Row],[Column1]]),0)</f>
        <v>2545</v>
      </c>
      <c r="F312" s="1">
        <f>teraterm[[#This Row],[V(V)]]^2</f>
        <v>1721.409160271287</v>
      </c>
    </row>
    <row r="313" spans="1:6" x14ac:dyDescent="0.25">
      <c r="A313" s="7">
        <v>2795</v>
      </c>
      <c r="B313" s="2">
        <v>-19204</v>
      </c>
      <c r="C313" s="1">
        <f>(teraterm[[#This Row],[Value(V)]]+$K$2)*$S$2</f>
        <v>-18.6932373046875</v>
      </c>
      <c r="D313" s="1">
        <f>(teraterm[[#This Row],[Column2]]-Q$4)*$S$3*1000</f>
        <v>-7814.1276041666661</v>
      </c>
      <c r="E313" s="1">
        <f>IF(ABS(VALUE(teraterm[[#This Row],[Column1]]))&lt;4096,VALUE(teraterm[[#This Row],[Column1]]),0)</f>
        <v>2795</v>
      </c>
      <c r="F313" s="1">
        <f>teraterm[[#This Row],[V(V)]]^2</f>
        <v>349.43712092936039</v>
      </c>
    </row>
    <row r="314" spans="1:6" x14ac:dyDescent="0.25">
      <c r="A314" s="7">
        <v>3039</v>
      </c>
      <c r="B314" s="2">
        <v>-23213</v>
      </c>
      <c r="C314" s="1">
        <f>(teraterm[[#This Row],[Value(V)]]+$K$2)*$S$2</f>
        <v>3.5562744140625</v>
      </c>
      <c r="D314" s="1">
        <f>(teraterm[[#This Row],[Column2]]-Q$4)*$S$3*1000</f>
        <v>-9445.3938802083321</v>
      </c>
      <c r="E314" s="1">
        <f>IF(ABS(VALUE(teraterm[[#This Row],[Column1]]))&lt;4096,VALUE(teraterm[[#This Row],[Column1]]),0)</f>
        <v>3039</v>
      </c>
      <c r="F314" s="1">
        <f>teraterm[[#This Row],[V(V)]]^2</f>
        <v>12.647087708115578</v>
      </c>
    </row>
    <row r="315" spans="1:6" x14ac:dyDescent="0.25">
      <c r="A315" s="7">
        <v>3263</v>
      </c>
      <c r="B315" s="2">
        <v>-32563</v>
      </c>
      <c r="C315" s="1">
        <f>(teraterm[[#This Row],[Value(V)]]+$K$2)*$S$2</f>
        <v>23.9820556640625</v>
      </c>
      <c r="D315" s="1">
        <f>(teraterm[[#This Row],[Column2]]-Q$4)*$S$3*1000</f>
        <v>-13249.918619791666</v>
      </c>
      <c r="E315" s="1">
        <f>IF(ABS(VALUE(teraterm[[#This Row],[Column1]]))&lt;4096,VALUE(teraterm[[#This Row],[Column1]]),0)</f>
        <v>3263</v>
      </c>
      <c r="F315" s="1">
        <f>teraterm[[#This Row],[V(V)]]^2</f>
        <v>575.13899387419224</v>
      </c>
    </row>
    <row r="316" spans="1:6" x14ac:dyDescent="0.25">
      <c r="A316" s="7">
        <v>3470</v>
      </c>
      <c r="B316" s="2">
        <v>19069</v>
      </c>
      <c r="C316" s="1">
        <f>(teraterm[[#This Row],[Value(V)]]+$K$2)*$S$2</f>
        <v>42.857666015625</v>
      </c>
      <c r="D316" s="1">
        <f>(teraterm[[#This Row],[Column2]]-Q$4)*$S$3*1000</f>
        <v>7759.1959635416661</v>
      </c>
      <c r="E316" s="1">
        <f>IF(ABS(VALUE(teraterm[[#This Row],[Column1]]))&lt;4096,VALUE(teraterm[[#This Row],[Column1]]),0)</f>
        <v>3470</v>
      </c>
      <c r="F316" s="1">
        <f>teraterm[[#This Row],[V(V)]]^2</f>
        <v>1836.7795363068581</v>
      </c>
    </row>
    <row r="317" spans="1:6" x14ac:dyDescent="0.25">
      <c r="A317" s="7">
        <v>3662</v>
      </c>
      <c r="B317" s="2">
        <v>1138</v>
      </c>
      <c r="C317" s="1">
        <f>(teraterm[[#This Row],[Value(V)]]+$K$2)*$S$2</f>
        <v>60.365478515625</v>
      </c>
      <c r="D317" s="1">
        <f>(teraterm[[#This Row],[Column2]]-Q$4)*$S$3*1000</f>
        <v>463.05338541666663</v>
      </c>
      <c r="E317" s="1">
        <f>IF(ABS(VALUE(teraterm[[#This Row],[Column1]]))&lt;4096,VALUE(teraterm[[#This Row],[Column1]]),0)</f>
        <v>3662</v>
      </c>
      <c r="F317" s="1">
        <f>teraterm[[#This Row],[V(V)]]^2</f>
        <v>3643.9909964203835</v>
      </c>
    </row>
    <row r="318" spans="1:6" x14ac:dyDescent="0.25">
      <c r="A318" s="7">
        <v>3819</v>
      </c>
      <c r="B318" s="2">
        <v>-25904</v>
      </c>
      <c r="C318" s="1">
        <f>(teraterm[[#This Row],[Value(V)]]+$K$2)*$S$2</f>
        <v>74.6817626953125</v>
      </c>
      <c r="D318" s="1">
        <f>(teraterm[[#This Row],[Column2]]-Q$4)*$S$3*1000</f>
        <v>-10540.364583333332</v>
      </c>
      <c r="E318" s="1">
        <f>IF(ABS(VALUE(teraterm[[#This Row],[Column1]]))&lt;4096,VALUE(teraterm[[#This Row],[Column1]]),0)</f>
        <v>3819</v>
      </c>
      <c r="F318" s="1">
        <f>teraterm[[#This Row],[V(V)]]^2</f>
        <v>5577.3656792789698</v>
      </c>
    </row>
    <row r="319" spans="1:6" x14ac:dyDescent="0.25">
      <c r="A319" s="7">
        <v>3935</v>
      </c>
      <c r="B319" s="2">
        <v>1985</v>
      </c>
      <c r="C319" s="1">
        <f>(teraterm[[#This Row],[Value(V)]]+$K$2)*$S$2</f>
        <v>85.2593994140625</v>
      </c>
      <c r="D319" s="1">
        <f>(teraterm[[#This Row],[Column2]]-Q$4)*$S$3*1000</f>
        <v>807.69856770833326</v>
      </c>
      <c r="E319" s="1">
        <f>IF(ABS(VALUE(teraterm[[#This Row],[Column1]]))&lt;4096,VALUE(teraterm[[#This Row],[Column1]]),0)</f>
        <v>3935</v>
      </c>
      <c r="F319" s="1">
        <f>teraterm[[#This Row],[V(V)]]^2</f>
        <v>7269.165188446641</v>
      </c>
    </row>
    <row r="320" spans="1:6" x14ac:dyDescent="0.25">
      <c r="A320" s="7">
        <v>4000</v>
      </c>
      <c r="B320" s="2">
        <v>16760</v>
      </c>
      <c r="C320" s="1">
        <f>(teraterm[[#This Row],[Value(V)]]+$K$2)*$S$2</f>
        <v>91.1865234375</v>
      </c>
      <c r="D320" s="1">
        <f>(teraterm[[#This Row],[Column2]]-Q$4)*$S$3*1000</f>
        <v>6819.661458333333</v>
      </c>
      <c r="E320" s="1">
        <f>IF(ABS(VALUE(teraterm[[#This Row],[Column1]]))&lt;4096,VALUE(teraterm[[#This Row],[Column1]]),0)</f>
        <v>4000</v>
      </c>
      <c r="F320" s="1">
        <f>teraterm[[#This Row],[V(V)]]^2</f>
        <v>8314.9820566177368</v>
      </c>
    </row>
    <row r="321" spans="1:6" x14ac:dyDescent="0.25">
      <c r="A321" s="7">
        <v>4022</v>
      </c>
      <c r="B321" s="2">
        <v>20512</v>
      </c>
      <c r="C321" s="1">
        <f>(teraterm[[#This Row],[Value(V)]]+$K$2)*$S$2</f>
        <v>93.192626953125</v>
      </c>
      <c r="D321" s="1">
        <f>(teraterm[[#This Row],[Column2]]-Q$4)*$S$3*1000</f>
        <v>8346.3541666666661</v>
      </c>
      <c r="E321" s="1">
        <f>IF(ABS(VALUE(teraterm[[#This Row],[Column1]]))&lt;4096,VALUE(teraterm[[#This Row],[Column1]]),0)</f>
        <v>4022</v>
      </c>
      <c r="F321" s="1">
        <f>teraterm[[#This Row],[V(V)]]^2</f>
        <v>8684.8657184243202</v>
      </c>
    </row>
    <row r="322" spans="1:6" x14ac:dyDescent="0.25">
      <c r="A322" s="7">
        <v>4037</v>
      </c>
      <c r="B322" s="2">
        <v>22464</v>
      </c>
      <c r="C322" s="1">
        <f>(teraterm[[#This Row],[Value(V)]]+$K$2)*$S$2</f>
        <v>94.5604248046875</v>
      </c>
      <c r="D322" s="1">
        <f>(teraterm[[#This Row],[Column2]]-Q$4)*$S$3*1000</f>
        <v>9140.625</v>
      </c>
      <c r="E322" s="1">
        <f>IF(ABS(VALUE(teraterm[[#This Row],[Column1]]))&lt;4096,VALUE(teraterm[[#This Row],[Column1]]),0)</f>
        <v>4037</v>
      </c>
      <c r="F322" s="1">
        <f>teraterm[[#This Row],[V(V)]]^2</f>
        <v>8941.673939242959</v>
      </c>
    </row>
    <row r="323" spans="1:6" x14ac:dyDescent="0.25">
      <c r="A323" s="7">
        <v>4045</v>
      </c>
      <c r="B323" s="2">
        <v>22624</v>
      </c>
      <c r="C323" s="1">
        <f>(teraterm[[#This Row],[Value(V)]]+$K$2)*$S$2</f>
        <v>95.2899169921875</v>
      </c>
      <c r="D323" s="1">
        <f>(teraterm[[#This Row],[Column2]]-Q$4)*$S$3*1000</f>
        <v>9205.7291666666661</v>
      </c>
      <c r="E323" s="1">
        <f>IF(ABS(VALUE(teraterm[[#This Row],[Column1]]))&lt;4096,VALUE(teraterm[[#This Row],[Column1]]),0)</f>
        <v>4045</v>
      </c>
      <c r="F323" s="1">
        <f>teraterm[[#This Row],[V(V)]]^2</f>
        <v>9080.168280377984</v>
      </c>
    </row>
    <row r="324" spans="1:6" x14ac:dyDescent="0.25">
      <c r="A324" s="7">
        <v>4035</v>
      </c>
      <c r="B324" s="2">
        <v>18193</v>
      </c>
      <c r="C324" s="1">
        <f>(teraterm[[#This Row],[Value(V)]]+$K$2)*$S$2</f>
        <v>94.3780517578125</v>
      </c>
      <c r="D324" s="1">
        <f>(teraterm[[#This Row],[Column2]]-Q$4)*$S$3*1000</f>
        <v>7402.7506510416661</v>
      </c>
      <c r="E324" s="1">
        <f>IF(ABS(VALUE(teraterm[[#This Row],[Column1]]))&lt;4096,VALUE(teraterm[[#This Row],[Column1]]),0)</f>
        <v>4035</v>
      </c>
      <c r="F324" s="1">
        <f>teraterm[[#This Row],[V(V)]]^2</f>
        <v>8907.2166536003351</v>
      </c>
    </row>
    <row r="325" spans="1:6" x14ac:dyDescent="0.25">
      <c r="A325" s="7">
        <v>3960</v>
      </c>
      <c r="B325" s="2">
        <v>-2796</v>
      </c>
      <c r="C325" s="1">
        <f>(teraterm[[#This Row],[Value(V)]]+$K$2)*$S$2</f>
        <v>87.5390625</v>
      </c>
      <c r="D325" s="1">
        <f>(teraterm[[#This Row],[Column2]]-Q$4)*$S$3*1000</f>
        <v>-1137.6953125</v>
      </c>
      <c r="E325" s="1">
        <f>IF(ABS(VALUE(teraterm[[#This Row],[Column1]]))&lt;4096,VALUE(teraterm[[#This Row],[Column1]]),0)</f>
        <v>3960</v>
      </c>
      <c r="F325" s="1">
        <f>teraterm[[#This Row],[V(V)]]^2</f>
        <v>7663.0874633789063</v>
      </c>
    </row>
    <row r="326" spans="1:6" x14ac:dyDescent="0.25">
      <c r="A326" s="7">
        <v>3787</v>
      </c>
      <c r="B326" s="2">
        <v>16843</v>
      </c>
      <c r="C326" s="1">
        <f>(teraterm[[#This Row],[Value(V)]]+$K$2)*$S$2</f>
        <v>71.7637939453125</v>
      </c>
      <c r="D326" s="1">
        <f>(teraterm[[#This Row],[Column2]]-Q$4)*$S$3*1000</f>
        <v>6853.4342447916661</v>
      </c>
      <c r="E326" s="1">
        <f>IF(ABS(VALUE(teraterm[[#This Row],[Column1]]))&lt;4096,VALUE(teraterm[[#This Row],[Column1]]),0)</f>
        <v>3787</v>
      </c>
      <c r="F326" s="1">
        <f>teraterm[[#This Row],[V(V)]]^2</f>
        <v>5150.042121425271</v>
      </c>
    </row>
    <row r="327" spans="1:6" x14ac:dyDescent="0.25">
      <c r="A327" s="7">
        <v>3596</v>
      </c>
      <c r="B327" s="2">
        <v>32072</v>
      </c>
      <c r="C327" s="1">
        <f>(teraterm[[#This Row],[Value(V)]]+$K$2)*$S$2</f>
        <v>54.34716796875</v>
      </c>
      <c r="D327" s="1">
        <f>(teraterm[[#This Row],[Column2]]-Q$4)*$S$3*1000</f>
        <v>13050.130208333332</v>
      </c>
      <c r="E327" s="1">
        <f>IF(ABS(VALUE(teraterm[[#This Row],[Column1]]))&lt;4096,VALUE(teraterm[[#This Row],[Column1]]),0)</f>
        <v>3596</v>
      </c>
      <c r="F327" s="1">
        <f>teraterm[[#This Row],[V(V)]]^2</f>
        <v>2953.614666223526</v>
      </c>
    </row>
    <row r="328" spans="1:6" x14ac:dyDescent="0.25">
      <c r="A328" s="7">
        <v>3404</v>
      </c>
      <c r="B328" s="2">
        <v>-18294</v>
      </c>
      <c r="C328" s="1">
        <f>(teraterm[[#This Row],[Value(V)]]+$K$2)*$S$2</f>
        <v>36.83935546875</v>
      </c>
      <c r="D328" s="1">
        <f>(teraterm[[#This Row],[Column2]]-Q$4)*$S$3*1000</f>
        <v>-7443.8476562499991</v>
      </c>
      <c r="E328" s="1">
        <f>IF(ABS(VALUE(teraterm[[#This Row],[Column1]]))&lt;4096,VALUE(teraterm[[#This Row],[Column1]]),0)</f>
        <v>3404</v>
      </c>
      <c r="F328" s="1">
        <f>teraterm[[#This Row],[V(V)]]^2</f>
        <v>1357.1381113529205</v>
      </c>
    </row>
    <row r="329" spans="1:6" x14ac:dyDescent="0.25">
      <c r="A329" s="7">
        <v>3179</v>
      </c>
      <c r="B329" s="2">
        <v>-11342</v>
      </c>
      <c r="C329" s="1">
        <f>(teraterm[[#This Row],[Value(V)]]+$K$2)*$S$2</f>
        <v>16.3223876953125</v>
      </c>
      <c r="D329" s="1">
        <f>(teraterm[[#This Row],[Column2]]-Q$4)*$S$3*1000</f>
        <v>-4615.071614583333</v>
      </c>
      <c r="E329" s="1">
        <f>IF(ABS(VALUE(teraterm[[#This Row],[Column1]]))&lt;4096,VALUE(teraterm[[#This Row],[Column1]]),0)</f>
        <v>3179</v>
      </c>
      <c r="F329" s="1">
        <f>teraterm[[#This Row],[V(V)]]^2</f>
        <v>266.42034007608891</v>
      </c>
    </row>
    <row r="330" spans="1:6" x14ac:dyDescent="0.25">
      <c r="A330" s="7">
        <v>2938</v>
      </c>
      <c r="B330" s="2">
        <v>-8241</v>
      </c>
      <c r="C330" s="1">
        <f>(teraterm[[#This Row],[Value(V)]]+$K$2)*$S$2</f>
        <v>-5.653564453125</v>
      </c>
      <c r="D330" s="1">
        <f>(teraterm[[#This Row],[Column2]]-Q$4)*$S$3*1000</f>
        <v>-3353.2714843749995</v>
      </c>
      <c r="E330" s="1">
        <f>IF(ABS(VALUE(teraterm[[#This Row],[Column1]]))&lt;4096,VALUE(teraterm[[#This Row],[Column1]]),0)</f>
        <v>2938</v>
      </c>
      <c r="F330" s="1">
        <f>teraterm[[#This Row],[V(V)]]^2</f>
        <v>31.96279102563858</v>
      </c>
    </row>
    <row r="331" spans="1:6" x14ac:dyDescent="0.25">
      <c r="A331" s="7">
        <v>2694</v>
      </c>
      <c r="B331" s="2">
        <v>-5661</v>
      </c>
      <c r="C331" s="1">
        <f>(teraterm[[#This Row],[Value(V)]]+$K$2)*$S$2</f>
        <v>-27.903076171875</v>
      </c>
      <c r="D331" s="1">
        <f>(teraterm[[#This Row],[Column2]]-Q$4)*$S$3*1000</f>
        <v>-2303.466796875</v>
      </c>
      <c r="E331" s="1">
        <f>IF(ABS(VALUE(teraterm[[#This Row],[Column1]]))&lt;4096,VALUE(teraterm[[#This Row],[Column1]]),0)</f>
        <v>2694</v>
      </c>
      <c r="F331" s="1">
        <f>teraterm[[#This Row],[V(V)]]^2</f>
        <v>778.5816598534584</v>
      </c>
    </row>
    <row r="332" spans="1:6" x14ac:dyDescent="0.25">
      <c r="A332" s="7">
        <v>2426</v>
      </c>
      <c r="B332" s="2">
        <v>-8955</v>
      </c>
      <c r="C332" s="1">
        <f>(teraterm[[#This Row],[Value(V)]]+$K$2)*$S$2</f>
        <v>-52.341064453125</v>
      </c>
      <c r="D332" s="1">
        <f>(teraterm[[#This Row],[Column2]]-Q$4)*$S$3*1000</f>
        <v>-3643.7988281249995</v>
      </c>
      <c r="E332" s="1">
        <f>IF(ABS(VALUE(teraterm[[#This Row],[Column1]]))&lt;4096,VALUE(teraterm[[#This Row],[Column1]]),0)</f>
        <v>2426</v>
      </c>
      <c r="F332" s="1">
        <f>teraterm[[#This Row],[V(V)]]^2</f>
        <v>2739.5870280861855</v>
      </c>
    </row>
    <row r="333" spans="1:6" x14ac:dyDescent="0.25">
      <c r="A333" s="7">
        <v>2139</v>
      </c>
      <c r="B333" s="2">
        <v>-16826</v>
      </c>
      <c r="C333" s="1">
        <f>(teraterm[[#This Row],[Value(V)]]+$K$2)*$S$2</f>
        <v>-78.5115966796875</v>
      </c>
      <c r="D333" s="1">
        <f>(teraterm[[#This Row],[Column2]]-Q$4)*$S$3*1000</f>
        <v>-6846.516927083333</v>
      </c>
      <c r="E333" s="1">
        <f>IF(ABS(VALUE(teraterm[[#This Row],[Column1]]))&lt;4096,VALUE(teraterm[[#This Row],[Column1]]),0)</f>
        <v>2139</v>
      </c>
      <c r="F333" s="1">
        <f>teraterm[[#This Row],[V(V)]]^2</f>
        <v>6164.0708131939173</v>
      </c>
    </row>
    <row r="334" spans="1:6" x14ac:dyDescent="0.25">
      <c r="A334" s="7">
        <v>1866</v>
      </c>
      <c r="B334" s="2">
        <v>-20840</v>
      </c>
      <c r="C334" s="1">
        <f>(teraterm[[#This Row],[Value(V)]]+$K$2)*$S$2</f>
        <v>-103.405517578125</v>
      </c>
      <c r="D334" s="1">
        <f>(teraterm[[#This Row],[Column2]]-Q$4)*$S$3*1000</f>
        <v>-8479.8177083333321</v>
      </c>
      <c r="E334" s="1">
        <f>IF(ABS(VALUE(teraterm[[#This Row],[Column1]]))&lt;4096,VALUE(teraterm[[#This Row],[Column1]]),0)</f>
        <v>1866</v>
      </c>
      <c r="F334" s="1">
        <f>teraterm[[#This Row],[V(V)]]^2</f>
        <v>10692.701065599918</v>
      </c>
    </row>
    <row r="335" spans="1:6" x14ac:dyDescent="0.25">
      <c r="A335" s="7">
        <v>1614</v>
      </c>
      <c r="B335" s="2">
        <v>-19227</v>
      </c>
      <c r="C335" s="1">
        <f>(teraterm[[#This Row],[Value(V)]]+$K$2)*$S$2</f>
        <v>-126.384521484375</v>
      </c>
      <c r="D335" s="1">
        <f>(teraterm[[#This Row],[Column2]]-Q$4)*$S$3*1000</f>
        <v>-7823.4863281249991</v>
      </c>
      <c r="E335" s="1">
        <f>IF(ABS(VALUE(teraterm[[#This Row],[Column1]]))&lt;4096,VALUE(teraterm[[#This Row],[Column1]]),0)</f>
        <v>1614</v>
      </c>
      <c r="F335" s="1">
        <f>teraterm[[#This Row],[V(V)]]^2</f>
        <v>15973.047270834446</v>
      </c>
    </row>
    <row r="336" spans="1:6" x14ac:dyDescent="0.25">
      <c r="A336" s="7">
        <v>1359</v>
      </c>
      <c r="B336" s="2">
        <v>-18129</v>
      </c>
      <c r="C336" s="1">
        <f>(teraterm[[#This Row],[Value(V)]]+$K$2)*$S$2</f>
        <v>-149.6370849609375</v>
      </c>
      <c r="D336" s="1">
        <f>(teraterm[[#This Row],[Column2]]-Q$4)*$S$3*1000</f>
        <v>-7376.7089843749991</v>
      </c>
      <c r="E336" s="1">
        <f>IF(ABS(VALUE(teraterm[[#This Row],[Column1]]))&lt;4096,VALUE(teraterm[[#This Row],[Column1]]),0)</f>
        <v>1359</v>
      </c>
      <c r="F336" s="1">
        <f>teraterm[[#This Row],[V(V)]]^2</f>
        <v>22391.257195606828</v>
      </c>
    </row>
    <row r="337" spans="1:6" x14ac:dyDescent="0.25">
      <c r="A337" s="7">
        <v>1114</v>
      </c>
      <c r="B337" s="2">
        <v>-14230</v>
      </c>
      <c r="C337" s="1">
        <f>(teraterm[[#This Row],[Value(V)]]+$K$2)*$S$2</f>
        <v>-171.977783203125</v>
      </c>
      <c r="D337" s="1">
        <f>(teraterm[[#This Row],[Column2]]-Q$4)*$S$3*1000</f>
        <v>-5790.2018229166661</v>
      </c>
      <c r="E337" s="1">
        <f>IF(ABS(VALUE(teraterm[[#This Row],[Column1]]))&lt;4096,VALUE(teraterm[[#This Row],[Column1]]),0)</f>
        <v>1114</v>
      </c>
      <c r="F337" s="1">
        <f>teraterm[[#This Row],[V(V)]]^2</f>
        <v>29576.357915461063</v>
      </c>
    </row>
    <row r="338" spans="1:6" x14ac:dyDescent="0.25">
      <c r="A338" s="7">
        <v>890</v>
      </c>
      <c r="B338" s="2">
        <v>-4735</v>
      </c>
      <c r="C338" s="1">
        <f>(teraterm[[#This Row],[Value(V)]]+$K$2)*$S$2</f>
        <v>-192.403564453125</v>
      </c>
      <c r="D338" s="1">
        <f>(teraterm[[#This Row],[Column2]]-Q$4)*$S$3*1000</f>
        <v>-1926.6764322916665</v>
      </c>
      <c r="E338" s="1">
        <f>IF(ABS(VALUE(teraterm[[#This Row],[Column1]]))&lt;4096,VALUE(teraterm[[#This Row],[Column1]]),0)</f>
        <v>890</v>
      </c>
      <c r="F338" s="1">
        <f>teraterm[[#This Row],[V(V)]]^2</f>
        <v>37019.131614267826</v>
      </c>
    </row>
    <row r="339" spans="1:6" x14ac:dyDescent="0.25">
      <c r="A339" s="7">
        <v>673</v>
      </c>
      <c r="B339" s="2">
        <v>6764</v>
      </c>
      <c r="C339" s="1">
        <f>(teraterm[[#This Row],[Value(V)]]+$K$2)*$S$2</f>
        <v>-212.1910400390625</v>
      </c>
      <c r="D339" s="1">
        <f>(teraterm[[#This Row],[Column2]]-Q$4)*$S$3*1000</f>
        <v>2752.278645833333</v>
      </c>
      <c r="E339" s="1">
        <f>IF(ABS(VALUE(teraterm[[#This Row],[Column1]]))&lt;4096,VALUE(teraterm[[#This Row],[Column1]]),0)</f>
        <v>673</v>
      </c>
      <c r="F339" s="1">
        <f>teraterm[[#This Row],[V(V)]]^2</f>
        <v>45025.037472859025</v>
      </c>
    </row>
    <row r="340" spans="1:6" x14ac:dyDescent="0.25">
      <c r="A340" s="7">
        <v>498</v>
      </c>
      <c r="B340" s="2">
        <v>29184</v>
      </c>
      <c r="C340" s="1">
        <f>(teraterm[[#This Row],[Value(V)]]+$K$2)*$S$2</f>
        <v>-228.148681640625</v>
      </c>
      <c r="D340" s="1">
        <f>(teraterm[[#This Row],[Column2]]-Q$4)*$S$3*1000</f>
        <v>11874.999999999998</v>
      </c>
      <c r="E340" s="1">
        <f>IF(ABS(VALUE(teraterm[[#This Row],[Column1]]))&lt;4096,VALUE(teraterm[[#This Row],[Column1]]),0)</f>
        <v>498</v>
      </c>
      <c r="F340" s="1">
        <f>teraterm[[#This Row],[V(V)]]^2</f>
        <v>52051.820934355259</v>
      </c>
    </row>
    <row r="341" spans="1:6" x14ac:dyDescent="0.25">
      <c r="A341" s="7">
        <v>356</v>
      </c>
      <c r="B341" s="2">
        <v>-5348</v>
      </c>
      <c r="C341" s="1">
        <f>(teraterm[[#This Row],[Value(V)]]+$K$2)*$S$2</f>
        <v>-241.09716796875</v>
      </c>
      <c r="D341" s="1">
        <f>(teraterm[[#This Row],[Column2]]-Q$4)*$S$3*1000</f>
        <v>-2176.106770833333</v>
      </c>
      <c r="E341" s="1">
        <f>IF(ABS(VALUE(teraterm[[#This Row],[Column1]]))&lt;4096,VALUE(teraterm[[#This Row],[Column1]]),0)</f>
        <v>356</v>
      </c>
      <c r="F341" s="1">
        <f>teraterm[[#This Row],[V(V)]]^2</f>
        <v>58127.844402551651</v>
      </c>
    </row>
    <row r="342" spans="1:6" x14ac:dyDescent="0.25">
      <c r="A342" s="7">
        <v>262</v>
      </c>
      <c r="B342" s="2">
        <v>-27506</v>
      </c>
      <c r="C342" s="1">
        <f>(teraterm[[#This Row],[Value(V)]]+$K$2)*$S$2</f>
        <v>-249.668701171875</v>
      </c>
      <c r="D342" s="1">
        <f>(teraterm[[#This Row],[Column2]]-Q$4)*$S$3*1000</f>
        <v>-11192.220052083332</v>
      </c>
      <c r="E342" s="1">
        <f>IF(ABS(VALUE(teraterm[[#This Row],[Column1]]))&lt;4096,VALUE(teraterm[[#This Row],[Column1]]),0)</f>
        <v>262</v>
      </c>
      <c r="F342" s="1">
        <f>teraterm[[#This Row],[V(V)]]^2</f>
        <v>62334.460344851017</v>
      </c>
    </row>
    <row r="343" spans="1:6" x14ac:dyDescent="0.25">
      <c r="A343" s="7">
        <v>234</v>
      </c>
      <c r="B343" s="2">
        <v>-32747</v>
      </c>
      <c r="C343" s="1">
        <f>(teraterm[[#This Row],[Value(V)]]+$K$2)*$S$2</f>
        <v>-252.221923828125</v>
      </c>
      <c r="D343" s="1">
        <f>(teraterm[[#This Row],[Column2]]-Q$4)*$S$3*1000</f>
        <v>-13324.788411458332</v>
      </c>
      <c r="E343" s="1">
        <f>IF(ABS(VALUE(teraterm[[#This Row],[Column1]]))&lt;4096,VALUE(teraterm[[#This Row],[Column1]]),0)</f>
        <v>234</v>
      </c>
      <c r="F343" s="1">
        <f>teraterm[[#This Row],[V(V)]]^2</f>
        <v>63615.89885956049</v>
      </c>
    </row>
    <row r="344" spans="1:6" x14ac:dyDescent="0.25">
      <c r="A344" s="7">
        <v>220</v>
      </c>
      <c r="B344" s="2">
        <v>31138</v>
      </c>
      <c r="C344" s="1">
        <f>(teraterm[[#This Row],[Value(V)]]+$K$2)*$S$2</f>
        <v>-253.49853515625</v>
      </c>
      <c r="D344" s="1">
        <f>(teraterm[[#This Row],[Column2]]-Q$4)*$S$3*1000</f>
        <v>12670.084635416666</v>
      </c>
      <c r="E344" s="1">
        <f>IF(ABS(VALUE(teraterm[[#This Row],[Column1]]))&lt;4096,VALUE(teraterm[[#This Row],[Column1]]),0)</f>
        <v>220</v>
      </c>
      <c r="F344" s="1">
        <f>teraterm[[#This Row],[V(V)]]^2</f>
        <v>64261.507326364517</v>
      </c>
    </row>
    <row r="345" spans="1:6" x14ac:dyDescent="0.25">
      <c r="A345" s="7">
        <v>217</v>
      </c>
      <c r="B345" s="2">
        <v>32299</v>
      </c>
      <c r="C345" s="1">
        <f>(teraterm[[#This Row],[Value(V)]]+$K$2)*$S$2</f>
        <v>-253.7720947265625</v>
      </c>
      <c r="D345" s="1">
        <f>(teraterm[[#This Row],[Column2]]-Q$4)*$S$3*1000</f>
        <v>13142.496744791666</v>
      </c>
      <c r="E345" s="1">
        <f>IF(ABS(VALUE(teraterm[[#This Row],[Column1]]))&lt;4096,VALUE(teraterm[[#This Row],[Column1]]),0)</f>
        <v>217</v>
      </c>
      <c r="F345" s="1">
        <f>teraterm[[#This Row],[V(V)]]^2</f>
        <v>64400.276061907411</v>
      </c>
    </row>
    <row r="346" spans="1:6" x14ac:dyDescent="0.25">
      <c r="A346" s="7">
        <v>225</v>
      </c>
      <c r="B346" s="2">
        <v>-29276</v>
      </c>
      <c r="C346" s="1">
        <f>(teraterm[[#This Row],[Value(V)]]+$K$2)*$S$2</f>
        <v>-253.0426025390625</v>
      </c>
      <c r="D346" s="1">
        <f>(teraterm[[#This Row],[Column2]]-Q$4)*$S$3*1000</f>
        <v>-11912.434895833332</v>
      </c>
      <c r="E346" s="1">
        <f>IF(ABS(VALUE(teraterm[[#This Row],[Column1]]))&lt;4096,VALUE(teraterm[[#This Row],[Column1]]),0)</f>
        <v>225</v>
      </c>
      <c r="F346" s="1">
        <f>teraterm[[#This Row],[V(V)]]^2</f>
        <v>64030.55869974196</v>
      </c>
    </row>
    <row r="347" spans="1:6" x14ac:dyDescent="0.25">
      <c r="A347" s="7">
        <v>280</v>
      </c>
      <c r="B347" s="2">
        <v>-13345</v>
      </c>
      <c r="C347" s="1">
        <f>(teraterm[[#This Row],[Value(V)]]+$K$2)*$S$2</f>
        <v>-248.02734375</v>
      </c>
      <c r="D347" s="1">
        <f>(teraterm[[#This Row],[Column2]]-Q$4)*$S$3*1000</f>
        <v>-5430.0944010416661</v>
      </c>
      <c r="E347" s="1">
        <f>IF(ABS(VALUE(teraterm[[#This Row],[Column1]]))&lt;4096,VALUE(teraterm[[#This Row],[Column1]]),0)</f>
        <v>280</v>
      </c>
      <c r="F347" s="1">
        <f>teraterm[[#This Row],[V(V)]]^2</f>
        <v>61517.563247680664</v>
      </c>
    </row>
    <row r="348" spans="1:6" x14ac:dyDescent="0.25">
      <c r="A348" s="7">
        <v>433</v>
      </c>
      <c r="B348" s="2">
        <v>27514</v>
      </c>
      <c r="C348" s="1">
        <f>(teraterm[[#This Row],[Value(V)]]+$K$2)*$S$2</f>
        <v>-234.0758056640625</v>
      </c>
      <c r="D348" s="1">
        <f>(teraterm[[#This Row],[Column2]]-Q$4)*$S$3*1000</f>
        <v>11195.475260416666</v>
      </c>
      <c r="E348" s="1">
        <f>IF(ABS(VALUE(teraterm[[#This Row],[Column1]]))&lt;4096,VALUE(teraterm[[#This Row],[Column1]]),0)</f>
        <v>433</v>
      </c>
      <c r="F348" s="1">
        <f>teraterm[[#This Row],[V(V)]]^2</f>
        <v>54791.482797279954</v>
      </c>
    </row>
    <row r="349" spans="1:6" x14ac:dyDescent="0.25">
      <c r="A349" s="7">
        <v>640</v>
      </c>
      <c r="B349" s="2">
        <v>16447</v>
      </c>
      <c r="C349" s="1">
        <f>(teraterm[[#This Row],[Value(V)]]+$K$2)*$S$2</f>
        <v>-215.2001953125</v>
      </c>
      <c r="D349" s="1">
        <f>(teraterm[[#This Row],[Column2]]-Q$4)*$S$3*1000</f>
        <v>6692.3014322916661</v>
      </c>
      <c r="E349" s="1">
        <f>IF(ABS(VALUE(teraterm[[#This Row],[Column1]]))&lt;4096,VALUE(teraterm[[#This Row],[Column1]]),0)</f>
        <v>640</v>
      </c>
      <c r="F349" s="1">
        <f>teraterm[[#This Row],[V(V)]]^2</f>
        <v>46311.124062538147</v>
      </c>
    </row>
    <row r="350" spans="1:6" x14ac:dyDescent="0.25">
      <c r="A350" s="7">
        <v>841</v>
      </c>
      <c r="B350" s="2">
        <v>3637</v>
      </c>
      <c r="C350" s="1">
        <f>(teraterm[[#This Row],[Value(V)]]+$K$2)*$S$2</f>
        <v>-196.8717041015625</v>
      </c>
      <c r="D350" s="1">
        <f>(teraterm[[#This Row],[Column2]]-Q$4)*$S$3*1000</f>
        <v>1479.8990885416665</v>
      </c>
      <c r="E350" s="1">
        <f>IF(ABS(VALUE(teraterm[[#This Row],[Column1]]))&lt;4096,VALUE(teraterm[[#This Row],[Column1]]),0)</f>
        <v>841</v>
      </c>
      <c r="F350" s="1">
        <f>teraterm[[#This Row],[V(V)]]^2</f>
        <v>38758.467875853181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F7E737-7E73-4E94-8416-29EF580F9B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2017-12-08T23:56:31Z</dcterms:created>
  <dcterms:modified xsi:type="dcterms:W3CDTF">2018-01-02T22:24:20Z</dcterms:modified>
</cp:coreProperties>
</file>